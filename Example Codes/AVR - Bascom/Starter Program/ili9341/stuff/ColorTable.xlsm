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" windowWidth="13395" windowHeight="927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F5" i="1"/>
  <c r="F9"/>
  <c r="F13"/>
  <c r="F17"/>
  <c r="F21"/>
  <c r="F25"/>
  <c r="F29"/>
  <c r="F33"/>
  <c r="F37"/>
  <c r="F41"/>
  <c r="F45"/>
  <c r="F49"/>
  <c r="F53"/>
  <c r="F57"/>
  <c r="F61"/>
  <c r="F65"/>
  <c r="F69"/>
  <c r="F73"/>
  <c r="F77"/>
  <c r="F81"/>
  <c r="F85"/>
  <c r="F89"/>
  <c r="F93"/>
  <c r="F97"/>
  <c r="F101"/>
  <c r="F105"/>
  <c r="F109"/>
  <c r="F113"/>
  <c r="F117"/>
  <c r="F121"/>
  <c r="F125"/>
  <c r="F129"/>
  <c r="F133"/>
  <c r="F137"/>
  <c r="F141"/>
  <c r="F145"/>
  <c r="F149"/>
  <c r="F153"/>
  <c r="F157"/>
  <c r="F161"/>
  <c r="F165"/>
  <c r="F169"/>
  <c r="F173"/>
  <c r="F177"/>
  <c r="F181"/>
  <c r="F185"/>
  <c r="F189"/>
  <c r="F193"/>
  <c r="F197"/>
  <c r="F201"/>
  <c r="F205"/>
  <c r="F209"/>
  <c r="F213"/>
  <c r="F217"/>
  <c r="F221"/>
  <c r="F225"/>
  <c r="F229"/>
  <c r="F233"/>
  <c r="F237"/>
  <c r="F241"/>
  <c r="F245"/>
  <c r="F249"/>
  <c r="F253"/>
  <c r="F257"/>
  <c r="F261"/>
  <c r="F265"/>
  <c r="F269"/>
  <c r="F273"/>
  <c r="F277"/>
  <c r="F281"/>
  <c r="F285"/>
  <c r="F289"/>
  <c r="F293"/>
  <c r="F297"/>
  <c r="F301"/>
  <c r="F305"/>
  <c r="F309"/>
  <c r="F313"/>
  <c r="F317"/>
  <c r="F321"/>
  <c r="F325"/>
  <c r="F329"/>
  <c r="F333"/>
  <c r="F337"/>
  <c r="F340"/>
  <c r="F344"/>
  <c r="F348"/>
  <c r="F352"/>
  <c r="F356"/>
  <c r="F360"/>
  <c r="F364"/>
  <c r="F368"/>
  <c r="F372"/>
  <c r="F376"/>
  <c r="F380"/>
  <c r="F384"/>
  <c r="F388"/>
  <c r="F392"/>
  <c r="F396"/>
  <c r="F400"/>
  <c r="F404"/>
  <c r="F408"/>
  <c r="F413"/>
  <c r="F417"/>
  <c r="F421"/>
  <c r="F425"/>
  <c r="F429"/>
  <c r="F433"/>
  <c r="F437"/>
  <c r="F441"/>
  <c r="F445"/>
  <c r="F449"/>
  <c r="F453"/>
  <c r="F457"/>
  <c r="F461"/>
  <c r="F465"/>
  <c r="F469"/>
  <c r="F473"/>
  <c r="F477"/>
  <c r="F481"/>
  <c r="F485"/>
  <c r="F489"/>
  <c r="F493"/>
  <c r="F497"/>
  <c r="F501"/>
  <c r="F505"/>
  <c r="F509"/>
  <c r="F513"/>
  <c r="F517"/>
  <c r="F521"/>
  <c r="F525"/>
  <c r="F529"/>
  <c r="F533"/>
  <c r="F537"/>
  <c r="F541"/>
  <c r="F545"/>
  <c r="F549"/>
  <c r="F553"/>
  <c r="F4"/>
  <c r="F16"/>
  <c r="F20"/>
  <c r="F28"/>
  <c r="F36"/>
  <c r="F44"/>
  <c r="F52"/>
  <c r="F60"/>
  <c r="F68"/>
  <c r="F76"/>
  <c r="F84"/>
  <c r="F92"/>
  <c r="F100"/>
  <c r="F108"/>
  <c r="F116"/>
  <c r="F124"/>
  <c r="F132"/>
  <c r="F140"/>
  <c r="F148"/>
  <c r="F156"/>
  <c r="F164"/>
  <c r="F172"/>
  <c r="F180"/>
  <c r="F188"/>
  <c r="F196"/>
  <c r="F204"/>
  <c r="F212"/>
  <c r="F220"/>
  <c r="F228"/>
  <c r="F236"/>
  <c r="F244"/>
  <c r="F252"/>
  <c r="F260"/>
  <c r="F268"/>
  <c r="F276"/>
  <c r="F284"/>
  <c r="F292"/>
  <c r="F300"/>
  <c r="F308"/>
  <c r="F316"/>
  <c r="F324"/>
  <c r="F332"/>
  <c r="F339"/>
  <c r="F347"/>
  <c r="F355"/>
  <c r="F363"/>
  <c r="F371"/>
  <c r="F379"/>
  <c r="F387"/>
  <c r="F395"/>
  <c r="F403"/>
  <c r="F412"/>
  <c r="F420"/>
  <c r="F428"/>
  <c r="F436"/>
  <c r="F444"/>
  <c r="F452"/>
  <c r="F460"/>
  <c r="F468"/>
  <c r="F472"/>
  <c r="F476"/>
  <c r="F480"/>
  <c r="F484"/>
  <c r="F488"/>
  <c r="F492"/>
  <c r="F496"/>
  <c r="F500"/>
  <c r="F504"/>
  <c r="F508"/>
  <c r="F512"/>
  <c r="F516"/>
  <c r="F520"/>
  <c r="F528"/>
  <c r="F536"/>
  <c r="F544"/>
  <c r="F552"/>
  <c r="F7"/>
  <c r="F11"/>
  <c r="F19"/>
  <c r="F27"/>
  <c r="F35"/>
  <c r="F43"/>
  <c r="F51"/>
  <c r="F59"/>
  <c r="F67"/>
  <c r="F75"/>
  <c r="F83"/>
  <c r="F91"/>
  <c r="F99"/>
  <c r="F107"/>
  <c r="F115"/>
  <c r="F123"/>
  <c r="F131"/>
  <c r="F139"/>
  <c r="F147"/>
  <c r="F155"/>
  <c r="F163"/>
  <c r="F171"/>
  <c r="F179"/>
  <c r="F187"/>
  <c r="F195"/>
  <c r="F203"/>
  <c r="F211"/>
  <c r="F219"/>
  <c r="F227"/>
  <c r="F235"/>
  <c r="F243"/>
  <c r="F251"/>
  <c r="F259"/>
  <c r="F267"/>
  <c r="F275"/>
  <c r="F283"/>
  <c r="F291"/>
  <c r="F299"/>
  <c r="F307"/>
  <c r="F315"/>
  <c r="F323"/>
  <c r="F331"/>
  <c r="F2"/>
  <c r="F6"/>
  <c r="F10"/>
  <c r="F14"/>
  <c r="F18"/>
  <c r="F22"/>
  <c r="F26"/>
  <c r="F30"/>
  <c r="F34"/>
  <c r="F38"/>
  <c r="F42"/>
  <c r="F46"/>
  <c r="F50"/>
  <c r="F54"/>
  <c r="F58"/>
  <c r="F62"/>
  <c r="F66"/>
  <c r="F70"/>
  <c r="F74"/>
  <c r="F78"/>
  <c r="F82"/>
  <c r="F86"/>
  <c r="F90"/>
  <c r="F94"/>
  <c r="F98"/>
  <c r="F102"/>
  <c r="F106"/>
  <c r="F110"/>
  <c r="F114"/>
  <c r="F118"/>
  <c r="F122"/>
  <c r="F126"/>
  <c r="F130"/>
  <c r="F134"/>
  <c r="F138"/>
  <c r="F142"/>
  <c r="F146"/>
  <c r="F150"/>
  <c r="F154"/>
  <c r="F158"/>
  <c r="F162"/>
  <c r="F166"/>
  <c r="F170"/>
  <c r="F174"/>
  <c r="F178"/>
  <c r="F182"/>
  <c r="F186"/>
  <c r="F190"/>
  <c r="F194"/>
  <c r="F198"/>
  <c r="F202"/>
  <c r="F206"/>
  <c r="F210"/>
  <c r="F214"/>
  <c r="F218"/>
  <c r="F222"/>
  <c r="F226"/>
  <c r="F230"/>
  <c r="F234"/>
  <c r="F238"/>
  <c r="F242"/>
  <c r="F246"/>
  <c r="F250"/>
  <c r="F254"/>
  <c r="F258"/>
  <c r="F262"/>
  <c r="F266"/>
  <c r="F270"/>
  <c r="F274"/>
  <c r="F278"/>
  <c r="F282"/>
  <c r="F286"/>
  <c r="F290"/>
  <c r="F294"/>
  <c r="F298"/>
  <c r="F302"/>
  <c r="F306"/>
  <c r="F310"/>
  <c r="F314"/>
  <c r="F318"/>
  <c r="F322"/>
  <c r="F326"/>
  <c r="F330"/>
  <c r="F334"/>
  <c r="F341"/>
  <c r="F345"/>
  <c r="F349"/>
  <c r="F353"/>
  <c r="F357"/>
  <c r="F361"/>
  <c r="F365"/>
  <c r="F369"/>
  <c r="F373"/>
  <c r="F377"/>
  <c r="F381"/>
  <c r="F385"/>
  <c r="F389"/>
  <c r="F393"/>
  <c r="F397"/>
  <c r="F401"/>
  <c r="F405"/>
  <c r="F411"/>
  <c r="F414"/>
  <c r="F418"/>
  <c r="F422"/>
  <c r="F426"/>
  <c r="F430"/>
  <c r="F434"/>
  <c r="F438"/>
  <c r="F442"/>
  <c r="F446"/>
  <c r="F450"/>
  <c r="F454"/>
  <c r="F458"/>
  <c r="F462"/>
  <c r="F466"/>
  <c r="F470"/>
  <c r="F474"/>
  <c r="F478"/>
  <c r="F482"/>
  <c r="F486"/>
  <c r="F490"/>
  <c r="F494"/>
  <c r="F498"/>
  <c r="F502"/>
  <c r="F506"/>
  <c r="F510"/>
  <c r="F514"/>
  <c r="F518"/>
  <c r="F522"/>
  <c r="F526"/>
  <c r="F530"/>
  <c r="F534"/>
  <c r="F538"/>
  <c r="F542"/>
  <c r="F546"/>
  <c r="F550"/>
  <c r="F554"/>
  <c r="F8"/>
  <c r="F12"/>
  <c r="F24"/>
  <c r="F32"/>
  <c r="F40"/>
  <c r="F48"/>
  <c r="F56"/>
  <c r="F64"/>
  <c r="F72"/>
  <c r="F80"/>
  <c r="F88"/>
  <c r="F96"/>
  <c r="F104"/>
  <c r="F112"/>
  <c r="F120"/>
  <c r="F128"/>
  <c r="F136"/>
  <c r="F144"/>
  <c r="F152"/>
  <c r="F160"/>
  <c r="F168"/>
  <c r="F176"/>
  <c r="F184"/>
  <c r="F192"/>
  <c r="F200"/>
  <c r="F208"/>
  <c r="F216"/>
  <c r="F224"/>
  <c r="F232"/>
  <c r="F240"/>
  <c r="F248"/>
  <c r="F256"/>
  <c r="F264"/>
  <c r="F272"/>
  <c r="F280"/>
  <c r="F288"/>
  <c r="F296"/>
  <c r="F304"/>
  <c r="F312"/>
  <c r="F320"/>
  <c r="F328"/>
  <c r="F336"/>
  <c r="F343"/>
  <c r="F351"/>
  <c r="F359"/>
  <c r="F367"/>
  <c r="F375"/>
  <c r="F383"/>
  <c r="F391"/>
  <c r="F399"/>
  <c r="F407"/>
  <c r="F416"/>
  <c r="F424"/>
  <c r="F432"/>
  <c r="F440"/>
  <c r="F448"/>
  <c r="F456"/>
  <c r="F464"/>
  <c r="F524"/>
  <c r="F532"/>
  <c r="F540"/>
  <c r="F548"/>
  <c r="F3"/>
  <c r="F15"/>
  <c r="F23"/>
  <c r="F31"/>
  <c r="F39"/>
  <c r="F47"/>
  <c r="F55"/>
  <c r="F63"/>
  <c r="F71"/>
  <c r="F79"/>
  <c r="F87"/>
  <c r="F95"/>
  <c r="F103"/>
  <c r="F111"/>
  <c r="F119"/>
  <c r="F127"/>
  <c r="F135"/>
  <c r="F143"/>
  <c r="F151"/>
  <c r="F159"/>
  <c r="F167"/>
  <c r="F175"/>
  <c r="F183"/>
  <c r="F191"/>
  <c r="F199"/>
  <c r="F207"/>
  <c r="F215"/>
  <c r="F223"/>
  <c r="F231"/>
  <c r="F239"/>
  <c r="F247"/>
  <c r="F255"/>
  <c r="F263"/>
  <c r="F271"/>
  <c r="F279"/>
  <c r="F287"/>
  <c r="F295"/>
  <c r="F303"/>
  <c r="F311"/>
  <c r="F319"/>
  <c r="F327"/>
  <c r="F335"/>
  <c r="F350"/>
  <c r="F366"/>
  <c r="F382"/>
  <c r="F398"/>
  <c r="F415"/>
  <c r="F431"/>
  <c r="F447"/>
  <c r="F463"/>
  <c r="F479"/>
  <c r="F495"/>
  <c r="F511"/>
  <c r="F527"/>
  <c r="F543"/>
  <c r="F455"/>
  <c r="F487"/>
  <c r="F519"/>
  <c r="F551"/>
  <c r="F354"/>
  <c r="F386"/>
  <c r="F419"/>
  <c r="F451"/>
  <c r="F483"/>
  <c r="F515"/>
  <c r="F547"/>
  <c r="F346"/>
  <c r="F362"/>
  <c r="F378"/>
  <c r="F394"/>
  <c r="F409"/>
  <c r="F427"/>
  <c r="F443"/>
  <c r="F459"/>
  <c r="F475"/>
  <c r="F491"/>
  <c r="F507"/>
  <c r="F523"/>
  <c r="F539"/>
  <c r="F342"/>
  <c r="F358"/>
  <c r="F374"/>
  <c r="F390"/>
  <c r="F406"/>
  <c r="F423"/>
  <c r="F439"/>
  <c r="F471"/>
  <c r="F503"/>
  <c r="F535"/>
  <c r="F338"/>
  <c r="F370"/>
  <c r="F402"/>
  <c r="F435"/>
  <c r="F467"/>
  <c r="F499"/>
  <c r="F531"/>
  <c r="F410"/>
  <c r="G410" l="1"/>
  <c r="G531"/>
  <c r="G499"/>
  <c r="G467"/>
  <c r="G435"/>
  <c r="G402"/>
  <c r="G370"/>
  <c r="G338"/>
  <c r="G535"/>
  <c r="G503"/>
  <c r="G471"/>
  <c r="G439"/>
  <c r="G423"/>
  <c r="G406"/>
  <c r="G390"/>
  <c r="G374"/>
  <c r="G358"/>
  <c r="G342"/>
  <c r="G539"/>
  <c r="G523"/>
  <c r="G507"/>
  <c r="G491"/>
  <c r="G475"/>
  <c r="G459"/>
  <c r="G443"/>
  <c r="G427"/>
  <c r="G409"/>
  <c r="G394"/>
  <c r="G378"/>
  <c r="G362"/>
  <c r="G346"/>
  <c r="G547"/>
  <c r="G515"/>
  <c r="G483"/>
  <c r="G451"/>
  <c r="G419"/>
  <c r="G386"/>
  <c r="G354"/>
  <c r="G551"/>
  <c r="G519"/>
  <c r="G487"/>
  <c r="G455"/>
  <c r="G543"/>
  <c r="G527"/>
  <c r="G511"/>
  <c r="G495"/>
  <c r="G479"/>
  <c r="G463"/>
  <c r="G447"/>
  <c r="G431"/>
  <c r="G415"/>
  <c r="G398"/>
  <c r="G382"/>
  <c r="G366"/>
  <c r="G350"/>
  <c r="G335"/>
  <c r="G327"/>
  <c r="G319"/>
  <c r="G311"/>
  <c r="G303"/>
  <c r="G295"/>
  <c r="G287"/>
  <c r="G279"/>
  <c r="G271"/>
  <c r="G263"/>
  <c r="G255"/>
  <c r="G247"/>
  <c r="G239"/>
  <c r="G231"/>
  <c r="G223"/>
  <c r="G215"/>
  <c r="G207"/>
  <c r="G199"/>
  <c r="G191"/>
  <c r="G183"/>
  <c r="G175"/>
  <c r="G167"/>
  <c r="G159"/>
  <c r="G151"/>
  <c r="G143"/>
  <c r="G135"/>
  <c r="G127"/>
  <c r="G119"/>
  <c r="G111"/>
  <c r="G103"/>
  <c r="G95"/>
  <c r="G87"/>
  <c r="G79"/>
  <c r="G71"/>
  <c r="G63"/>
  <c r="G55"/>
  <c r="G47"/>
  <c r="G39"/>
  <c r="G31"/>
  <c r="G23"/>
  <c r="G15"/>
  <c r="G3"/>
  <c r="G548"/>
  <c r="G540"/>
  <c r="G532"/>
  <c r="G524"/>
  <c r="G464"/>
  <c r="G456"/>
  <c r="G448"/>
  <c r="G440"/>
  <c r="G432"/>
  <c r="G424"/>
  <c r="G416"/>
  <c r="G407"/>
  <c r="G399"/>
  <c r="G391"/>
  <c r="G383"/>
  <c r="G375"/>
  <c r="G367"/>
  <c r="G359"/>
  <c r="G351"/>
  <c r="G343"/>
  <c r="G336"/>
  <c r="G328"/>
  <c r="G320"/>
  <c r="G312"/>
  <c r="G304"/>
  <c r="G296"/>
  <c r="G288"/>
  <c r="G280"/>
  <c r="G272"/>
  <c r="G264"/>
  <c r="G256"/>
  <c r="G248"/>
  <c r="G240"/>
  <c r="G232"/>
  <c r="G224"/>
  <c r="G216"/>
  <c r="G208"/>
  <c r="G200"/>
  <c r="G192"/>
  <c r="G184"/>
  <c r="G176"/>
  <c r="G168"/>
  <c r="G160"/>
  <c r="G152"/>
  <c r="G144"/>
  <c r="G136"/>
  <c r="G128"/>
  <c r="G120"/>
  <c r="G112"/>
  <c r="G104"/>
  <c r="G96"/>
  <c r="G88"/>
  <c r="G80"/>
  <c r="G72"/>
  <c r="G64"/>
  <c r="G56"/>
  <c r="G48"/>
  <c r="G40"/>
  <c r="G32"/>
  <c r="G24"/>
  <c r="G12"/>
  <c r="G8"/>
  <c r="G554"/>
  <c r="G550"/>
  <c r="G546"/>
  <c r="G542"/>
  <c r="G538"/>
  <c r="G534"/>
  <c r="G530"/>
  <c r="G526"/>
  <c r="G522"/>
  <c r="G518"/>
  <c r="G514"/>
  <c r="G510"/>
  <c r="G506"/>
  <c r="G502"/>
  <c r="G498"/>
  <c r="G494"/>
  <c r="G490"/>
  <c r="G486"/>
  <c r="G482"/>
  <c r="G478"/>
  <c r="G474"/>
  <c r="G470"/>
  <c r="G466"/>
  <c r="G462"/>
  <c r="G458"/>
  <c r="G454"/>
  <c r="G450"/>
  <c r="G446"/>
  <c r="G442"/>
  <c r="G438"/>
  <c r="G434"/>
  <c r="G430"/>
  <c r="G426"/>
  <c r="G422"/>
  <c r="G418"/>
  <c r="G414"/>
  <c r="G411"/>
  <c r="G405"/>
  <c r="G401"/>
  <c r="G397"/>
  <c r="G393"/>
  <c r="G389"/>
  <c r="G385"/>
  <c r="G381"/>
  <c r="G377"/>
  <c r="G373"/>
  <c r="G369"/>
  <c r="G365"/>
  <c r="G361"/>
  <c r="G357"/>
  <c r="G353"/>
  <c r="G349"/>
  <c r="G345"/>
  <c r="G341"/>
  <c r="G334"/>
  <c r="G330"/>
  <c r="G326"/>
  <c r="G322"/>
  <c r="G318"/>
  <c r="G314"/>
  <c r="G310"/>
  <c r="G306"/>
  <c r="G302"/>
  <c r="G298"/>
  <c r="G294"/>
  <c r="G290"/>
  <c r="G286"/>
  <c r="G282"/>
  <c r="G278"/>
  <c r="G274"/>
  <c r="G270"/>
  <c r="G266"/>
  <c r="G262"/>
  <c r="G258"/>
  <c r="G254"/>
  <c r="G250"/>
  <c r="G246"/>
  <c r="G242"/>
  <c r="G238"/>
  <c r="G234"/>
  <c r="G230"/>
  <c r="G226"/>
  <c r="G222"/>
  <c r="G218"/>
  <c r="G214"/>
  <c r="G210"/>
  <c r="G206"/>
  <c r="G202"/>
  <c r="G198"/>
  <c r="G194"/>
  <c r="G190"/>
  <c r="G186"/>
  <c r="G182"/>
  <c r="G178"/>
  <c r="G174"/>
  <c r="G170"/>
  <c r="G166"/>
  <c r="G162"/>
  <c r="G158"/>
  <c r="G154"/>
  <c r="G150"/>
  <c r="G146"/>
  <c r="G142"/>
  <c r="G138"/>
  <c r="G134"/>
  <c r="G130"/>
  <c r="G126"/>
  <c r="G122"/>
  <c r="G118"/>
  <c r="G114"/>
  <c r="G110"/>
  <c r="G106"/>
  <c r="G102"/>
  <c r="G98"/>
  <c r="G94"/>
  <c r="G90"/>
  <c r="G86"/>
  <c r="G82"/>
  <c r="G78"/>
  <c r="G74"/>
  <c r="G70"/>
  <c r="G66"/>
  <c r="G62"/>
  <c r="G58"/>
  <c r="G54"/>
  <c r="G50"/>
  <c r="G46"/>
  <c r="G42"/>
  <c r="G38"/>
  <c r="G34"/>
  <c r="G30"/>
  <c r="G26"/>
  <c r="G22"/>
  <c r="G18"/>
  <c r="G14"/>
  <c r="G10"/>
  <c r="G6"/>
  <c r="G2"/>
  <c r="G331"/>
  <c r="G323"/>
  <c r="G315"/>
  <c r="G307"/>
  <c r="G299"/>
  <c r="G291"/>
  <c r="G283"/>
  <c r="G275"/>
  <c r="G267"/>
  <c r="G259"/>
  <c r="G251"/>
  <c r="G243"/>
  <c r="G235"/>
  <c r="G227"/>
  <c r="G219"/>
  <c r="G211"/>
  <c r="G203"/>
  <c r="G195"/>
  <c r="G187"/>
  <c r="G179"/>
  <c r="G171"/>
  <c r="G163"/>
  <c r="G155"/>
  <c r="G147"/>
  <c r="G139"/>
  <c r="G131"/>
  <c r="G123"/>
  <c r="G115"/>
  <c r="G107"/>
  <c r="G99"/>
  <c r="G91"/>
  <c r="G83"/>
  <c r="G75"/>
  <c r="G67"/>
  <c r="G59"/>
  <c r="G51"/>
  <c r="G43"/>
  <c r="G35"/>
  <c r="G27"/>
  <c r="G19"/>
  <c r="G11"/>
  <c r="G7"/>
  <c r="G552"/>
  <c r="G544"/>
  <c r="G536"/>
  <c r="G528"/>
  <c r="G520"/>
  <c r="G516"/>
  <c r="G512"/>
  <c r="G508"/>
  <c r="G504"/>
  <c r="G500"/>
  <c r="G496"/>
  <c r="G492"/>
  <c r="G488"/>
  <c r="G484"/>
  <c r="G480"/>
  <c r="G476"/>
  <c r="G472"/>
  <c r="G468"/>
  <c r="G460"/>
  <c r="G452"/>
  <c r="G444"/>
  <c r="G436"/>
  <c r="G428"/>
  <c r="G420"/>
  <c r="G412"/>
  <c r="G403"/>
  <c r="G395"/>
  <c r="G387"/>
  <c r="G379"/>
  <c r="G371"/>
  <c r="G363"/>
  <c r="G355"/>
  <c r="G347"/>
  <c r="G339"/>
  <c r="G332"/>
  <c r="G324"/>
  <c r="G316"/>
  <c r="G308"/>
  <c r="G300"/>
  <c r="G292"/>
  <c r="G284"/>
  <c r="G276"/>
  <c r="G268"/>
  <c r="G260"/>
  <c r="G252"/>
  <c r="G244"/>
  <c r="G236"/>
  <c r="G228"/>
  <c r="G220"/>
  <c r="G212"/>
  <c r="G204"/>
  <c r="G196"/>
  <c r="G188"/>
  <c r="G180"/>
  <c r="G172"/>
  <c r="G164"/>
  <c r="G156"/>
  <c r="G148"/>
  <c r="G140"/>
  <c r="G132"/>
  <c r="G124"/>
  <c r="G116"/>
  <c r="G108"/>
  <c r="G100"/>
  <c r="G92"/>
  <c r="G84"/>
  <c r="G76"/>
  <c r="G68"/>
  <c r="G60"/>
  <c r="G52"/>
  <c r="G44"/>
  <c r="G36"/>
  <c r="G28"/>
  <c r="G20"/>
  <c r="G16"/>
  <c r="G4"/>
  <c r="G553"/>
  <c r="G549"/>
  <c r="G545"/>
  <c r="G541"/>
  <c r="G537"/>
  <c r="G533"/>
  <c r="G529"/>
  <c r="G525"/>
  <c r="G521"/>
  <c r="G517"/>
  <c r="G513"/>
  <c r="G509"/>
  <c r="G505"/>
  <c r="G501"/>
  <c r="G497"/>
  <c r="G493"/>
  <c r="G489"/>
  <c r="G485"/>
  <c r="G481"/>
  <c r="G477"/>
  <c r="G473"/>
  <c r="G469"/>
  <c r="G465"/>
  <c r="G461"/>
  <c r="G457"/>
  <c r="G453"/>
  <c r="G449"/>
  <c r="G445"/>
  <c r="G441"/>
  <c r="G437"/>
  <c r="G433"/>
  <c r="G429"/>
  <c r="G425"/>
  <c r="G421"/>
  <c r="G417"/>
  <c r="G413"/>
  <c r="G408"/>
  <c r="G404"/>
  <c r="G400"/>
  <c r="G396"/>
  <c r="G392"/>
  <c r="G388"/>
  <c r="G384"/>
  <c r="G380"/>
  <c r="G376"/>
  <c r="G372"/>
  <c r="G368"/>
  <c r="G364"/>
  <c r="G360"/>
  <c r="G356"/>
  <c r="G352"/>
  <c r="G348"/>
  <c r="G344"/>
  <c r="G340"/>
  <c r="G337"/>
  <c r="G333"/>
  <c r="G329"/>
  <c r="G325"/>
  <c r="G321"/>
  <c r="G317"/>
  <c r="G313"/>
  <c r="G309"/>
  <c r="G305"/>
  <c r="G301"/>
  <c r="G297"/>
  <c r="G293"/>
  <c r="G289"/>
  <c r="G285"/>
  <c r="G281"/>
  <c r="G277"/>
  <c r="G273"/>
  <c r="G269"/>
  <c r="G265"/>
  <c r="G261"/>
  <c r="G257"/>
  <c r="G253"/>
  <c r="G249"/>
  <c r="G245"/>
  <c r="G241"/>
  <c r="G237"/>
  <c r="G233"/>
  <c r="G229"/>
  <c r="G225"/>
  <c r="G221"/>
  <c r="G217"/>
  <c r="G213"/>
  <c r="G209"/>
  <c r="G205"/>
  <c r="G201"/>
  <c r="G197"/>
  <c r="G193"/>
  <c r="G189"/>
  <c r="G185"/>
  <c r="G181"/>
  <c r="G177"/>
  <c r="G173"/>
  <c r="G169"/>
  <c r="G165"/>
  <c r="G161"/>
  <c r="G157"/>
  <c r="G153"/>
  <c r="G149"/>
  <c r="G145"/>
  <c r="G141"/>
  <c r="G137"/>
  <c r="G133"/>
  <c r="G129"/>
  <c r="G125"/>
  <c r="G121"/>
  <c r="G117"/>
  <c r="G113"/>
  <c r="G109"/>
  <c r="G105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25"/>
  <c r="G21"/>
  <c r="G17"/>
  <c r="G13"/>
  <c r="G9"/>
  <c r="G5"/>
</calcChain>
</file>

<file path=xl/sharedStrings.xml><?xml version="1.0" encoding="utf-8"?>
<sst xmlns="http://schemas.openxmlformats.org/spreadsheetml/2006/main" count="562" uniqueCount="561">
  <si>
    <t>aliceblue</t>
  </si>
  <si>
    <t>antiquewhite</t>
  </si>
  <si>
    <t>aquamarine</t>
  </si>
  <si>
    <t>crimson</t>
  </si>
  <si>
    <t>lightpink</t>
  </si>
  <si>
    <t>pink</t>
  </si>
  <si>
    <t>palevioletred</t>
  </si>
  <si>
    <t>hotpink</t>
  </si>
  <si>
    <t>raspberry</t>
  </si>
  <si>
    <t>mediumvioletred</t>
  </si>
  <si>
    <t>violetred</t>
  </si>
  <si>
    <t>orchid</t>
  </si>
  <si>
    <t>thistle</t>
  </si>
  <si>
    <t>plum</t>
  </si>
  <si>
    <t>violet</t>
  </si>
  <si>
    <t>mediumorchid</t>
  </si>
  <si>
    <t>darkviolet</t>
  </si>
  <si>
    <t>darkorchid</t>
  </si>
  <si>
    <t>indigo</t>
  </si>
  <si>
    <t>blueviolet</t>
  </si>
  <si>
    <t>mediumpurple</t>
  </si>
  <si>
    <t>darkslateblue</t>
  </si>
  <si>
    <t>lightslateblue</t>
  </si>
  <si>
    <t>mediumslateblue</t>
  </si>
  <si>
    <t>slateblue</t>
  </si>
  <si>
    <t>ghostwhite</t>
  </si>
  <si>
    <t>lavender</t>
  </si>
  <si>
    <t>midnightblue</t>
  </si>
  <si>
    <t>cobalt</t>
  </si>
  <si>
    <t>royalblue</t>
  </si>
  <si>
    <t>cornflowerblue</t>
  </si>
  <si>
    <t>lightsteelblue</t>
  </si>
  <si>
    <t>lightslategray</t>
  </si>
  <si>
    <t>slategray</t>
  </si>
  <si>
    <t>steelblue</t>
  </si>
  <si>
    <t>lightskyblue</t>
  </si>
  <si>
    <t>skyblue</t>
  </si>
  <si>
    <t>peacock</t>
  </si>
  <si>
    <t>lightblue</t>
  </si>
  <si>
    <t>powderblue</t>
  </si>
  <si>
    <t>cadetblue</t>
  </si>
  <si>
    <t>darkturquoise</t>
  </si>
  <si>
    <t>darkslategray</t>
  </si>
  <si>
    <t>mediumturquoise</t>
  </si>
  <si>
    <t>lightseagreen</t>
  </si>
  <si>
    <t>manganeseblue</t>
  </si>
  <si>
    <t>turquoise</t>
  </si>
  <si>
    <t>coldgrey</t>
  </si>
  <si>
    <t>turquoiseblue</t>
  </si>
  <si>
    <t>mediumspringgreen</t>
  </si>
  <si>
    <t>mintcream</t>
  </si>
  <si>
    <t>springgreen</t>
  </si>
  <si>
    <t>mediumseagreen</t>
  </si>
  <si>
    <t>emeraldgreen</t>
  </si>
  <si>
    <t>mint</t>
  </si>
  <si>
    <t>cobaltgreen</t>
  </si>
  <si>
    <t>darkseagreen</t>
  </si>
  <si>
    <t>palegreen</t>
  </si>
  <si>
    <t>limegreen</t>
  </si>
  <si>
    <t>forestgreen</t>
  </si>
  <si>
    <t>darkgreen</t>
  </si>
  <si>
    <t>sapgreen</t>
  </si>
  <si>
    <t>lawngreen</t>
  </si>
  <si>
    <t>greenyellow</t>
  </si>
  <si>
    <t>darkolivegreen</t>
  </si>
  <si>
    <t>olivedrab</t>
  </si>
  <si>
    <t>beige</t>
  </si>
  <si>
    <t>lightgoldenrodyellow</t>
  </si>
  <si>
    <t>warmgrey</t>
  </si>
  <si>
    <t>darkkhaki</t>
  </si>
  <si>
    <t>khaki</t>
  </si>
  <si>
    <t>palegoldenrod</t>
  </si>
  <si>
    <t>banana</t>
  </si>
  <si>
    <t>goldenrod</t>
  </si>
  <si>
    <t>darkgoldenrod</t>
  </si>
  <si>
    <t>floralwhite</t>
  </si>
  <si>
    <t>oldlace</t>
  </si>
  <si>
    <t>wheat</t>
  </si>
  <si>
    <t>moccasin</t>
  </si>
  <si>
    <t>papayawhip</t>
  </si>
  <si>
    <t>blanchedalmond</t>
  </si>
  <si>
    <t>eggshell</t>
  </si>
  <si>
    <t>tan</t>
  </si>
  <si>
    <t>brick</t>
  </si>
  <si>
    <t>cadmiumyellow</t>
  </si>
  <si>
    <t>burlywood</t>
  </si>
  <si>
    <t>melon</t>
  </si>
  <si>
    <t>carrot</t>
  </si>
  <si>
    <t>darkorange</t>
  </si>
  <si>
    <t>orange</t>
  </si>
  <si>
    <t>linen</t>
  </si>
  <si>
    <t>sandybrown</t>
  </si>
  <si>
    <t>rawsienna</t>
  </si>
  <si>
    <t>chocolate</t>
  </si>
  <si>
    <t>ivoryblack</t>
  </si>
  <si>
    <t>flesh</t>
  </si>
  <si>
    <t>cadmiumorange</t>
  </si>
  <si>
    <t>burntsienna</t>
  </si>
  <si>
    <t>sienna</t>
  </si>
  <si>
    <t>coral</t>
  </si>
  <si>
    <t>sepia</t>
  </si>
  <si>
    <t>darksalmon</t>
  </si>
  <si>
    <t>burntumber</t>
  </si>
  <si>
    <t>salmon</t>
  </si>
  <si>
    <t>rosybrown</t>
  </si>
  <si>
    <t>lightcoral</t>
  </si>
  <si>
    <t>indianred</t>
  </si>
  <si>
    <t>brown</t>
  </si>
  <si>
    <t>firebrick</t>
  </si>
  <si>
    <t>gainsboro</t>
  </si>
  <si>
    <t>lightgrey</t>
  </si>
  <si>
    <t>darkgray</t>
  </si>
  <si>
    <t>lightpink1</t>
  </si>
  <si>
    <t>lightpink2</t>
  </si>
  <si>
    <t>lightpink3</t>
  </si>
  <si>
    <t>lightpink4</t>
  </si>
  <si>
    <t>pink1</t>
  </si>
  <si>
    <t>pink2</t>
  </si>
  <si>
    <t>pink3</t>
  </si>
  <si>
    <t>pink4</t>
  </si>
  <si>
    <t>palevioletred1</t>
  </si>
  <si>
    <t>palevioletred2</t>
  </si>
  <si>
    <t>palevioletred3</t>
  </si>
  <si>
    <t>palevioletred4</t>
  </si>
  <si>
    <t>lavenderblush2</t>
  </si>
  <si>
    <t>lavenderblush3</t>
  </si>
  <si>
    <t>lavenderblush4</t>
  </si>
  <si>
    <t>violetred1</t>
  </si>
  <si>
    <t>violetred2</t>
  </si>
  <si>
    <t>violetred3</t>
  </si>
  <si>
    <t>violetred4</t>
  </si>
  <si>
    <t>hotpink1</t>
  </si>
  <si>
    <t>hotpink2</t>
  </si>
  <si>
    <t>hotpink3</t>
  </si>
  <si>
    <t>hotpink4</t>
  </si>
  <si>
    <t>deeppink2</t>
  </si>
  <si>
    <t>deeppink3</t>
  </si>
  <si>
    <t>deeppink4</t>
  </si>
  <si>
    <t>maroon1</t>
  </si>
  <si>
    <t>maroon2</t>
  </si>
  <si>
    <t>maroon3</t>
  </si>
  <si>
    <t>maroon4</t>
  </si>
  <si>
    <t>orchid1</t>
  </si>
  <si>
    <t>orchid2</t>
  </si>
  <si>
    <t>orchid3</t>
  </si>
  <si>
    <t>orchid4</t>
  </si>
  <si>
    <t>thistle1</t>
  </si>
  <si>
    <t>thistle2</t>
  </si>
  <si>
    <t>thistle3</t>
  </si>
  <si>
    <t>thistle4</t>
  </si>
  <si>
    <t>plum1</t>
  </si>
  <si>
    <t>plum2</t>
  </si>
  <si>
    <t>plum3</t>
  </si>
  <si>
    <t>plum4</t>
  </si>
  <si>
    <t>magenta2</t>
  </si>
  <si>
    <t>magenta3</t>
  </si>
  <si>
    <t>mediumorchid1</t>
  </si>
  <si>
    <t>mediumorchid2</t>
  </si>
  <si>
    <t>mediumorchid3</t>
  </si>
  <si>
    <t>mediumorchid4</t>
  </si>
  <si>
    <t>darkorchid1</t>
  </si>
  <si>
    <t>darkorchid2</t>
  </si>
  <si>
    <t>darkorchid3</t>
  </si>
  <si>
    <t>darkorchid4</t>
  </si>
  <si>
    <t>purple1</t>
  </si>
  <si>
    <t>purple2</t>
  </si>
  <si>
    <t>purple3</t>
  </si>
  <si>
    <t>purple4</t>
  </si>
  <si>
    <t>mediumpurple1</t>
  </si>
  <si>
    <t>mediumpurple2</t>
  </si>
  <si>
    <t>mediumpurple3</t>
  </si>
  <si>
    <t>mediumpurple4</t>
  </si>
  <si>
    <t>slateblue1</t>
  </si>
  <si>
    <t>slateblue2</t>
  </si>
  <si>
    <t>slateblue3</t>
  </si>
  <si>
    <t>slateblue4</t>
  </si>
  <si>
    <t>blue2</t>
  </si>
  <si>
    <t>royalblue1</t>
  </si>
  <si>
    <t>royalblue2</t>
  </si>
  <si>
    <t>royalblue3</t>
  </si>
  <si>
    <t>royalblue4</t>
  </si>
  <si>
    <t>lightsteelblue1</t>
  </si>
  <si>
    <t>lightsteelblue2</t>
  </si>
  <si>
    <t>lightsteelblue3</t>
  </si>
  <si>
    <t>lightsteelblue4</t>
  </si>
  <si>
    <t>slategray1</t>
  </si>
  <si>
    <t>slategray2</t>
  </si>
  <si>
    <t>slategray3</t>
  </si>
  <si>
    <t>slategray4</t>
  </si>
  <si>
    <t>dodgerblue2</t>
  </si>
  <si>
    <t>dodgerblue3</t>
  </si>
  <si>
    <t>dodgerblue4</t>
  </si>
  <si>
    <t>steelblue1</t>
  </si>
  <si>
    <t>steelblue2</t>
  </si>
  <si>
    <t>steelblue3</t>
  </si>
  <si>
    <t>steelblue4</t>
  </si>
  <si>
    <t>lightskyblue1</t>
  </si>
  <si>
    <t>lightskyblue2</t>
  </si>
  <si>
    <t>lightskyblue3</t>
  </si>
  <si>
    <t>lightskyblue4</t>
  </si>
  <si>
    <t>skyblue1</t>
  </si>
  <si>
    <t>skyblue2</t>
  </si>
  <si>
    <t>skyblue3</t>
  </si>
  <si>
    <t>skyblue4</t>
  </si>
  <si>
    <t>deepskyblue2</t>
  </si>
  <si>
    <t>deepskyblue3</t>
  </si>
  <si>
    <t>deepskyblue4</t>
  </si>
  <si>
    <t>lightblue1</t>
  </si>
  <si>
    <t>lightblue2</t>
  </si>
  <si>
    <t>lightblue3</t>
  </si>
  <si>
    <t>lightblue4</t>
  </si>
  <si>
    <t>cadetblue1</t>
  </si>
  <si>
    <t>cadetblue2</t>
  </si>
  <si>
    <t>cadetblue3</t>
  </si>
  <si>
    <t>cadetblue4</t>
  </si>
  <si>
    <t>turquoise1</t>
  </si>
  <si>
    <t>turquoise2</t>
  </si>
  <si>
    <t>turquoise3</t>
  </si>
  <si>
    <t>turquoise4</t>
  </si>
  <si>
    <t>azure2</t>
  </si>
  <si>
    <t>azure3</t>
  </si>
  <si>
    <t>azure4</t>
  </si>
  <si>
    <t>lightcyan2</t>
  </si>
  <si>
    <t>lightcyan3</t>
  </si>
  <si>
    <t>lightcyan4</t>
  </si>
  <si>
    <t>paleturquoise1</t>
  </si>
  <si>
    <t>paleturquoise3</t>
  </si>
  <si>
    <t>paleturquoise4</t>
  </si>
  <si>
    <t>darkslategray1</t>
  </si>
  <si>
    <t>darkslategray2</t>
  </si>
  <si>
    <t>darkslategray3</t>
  </si>
  <si>
    <t>darkslategray4</t>
  </si>
  <si>
    <t>cyan2</t>
  </si>
  <si>
    <t>cyan3</t>
  </si>
  <si>
    <t>aquamarine2</t>
  </si>
  <si>
    <t>aquamarine4</t>
  </si>
  <si>
    <t>springgreen1</t>
  </si>
  <si>
    <t>springgreen2</t>
  </si>
  <si>
    <t>springgreen3</t>
  </si>
  <si>
    <t>seagreen1</t>
  </si>
  <si>
    <t>seagreen2</t>
  </si>
  <si>
    <t>seagreen3</t>
  </si>
  <si>
    <t>honeydew2</t>
  </si>
  <si>
    <t>honeydew3</t>
  </si>
  <si>
    <t>honeydew4</t>
  </si>
  <si>
    <t>darkseagreen1</t>
  </si>
  <si>
    <t>darkseagreen2</t>
  </si>
  <si>
    <t>darkseagreen3</t>
  </si>
  <si>
    <t>darkseagreen4</t>
  </si>
  <si>
    <t>palegreen1</t>
  </si>
  <si>
    <t>palegreen3</t>
  </si>
  <si>
    <t>palegreen4</t>
  </si>
  <si>
    <t>green2</t>
  </si>
  <si>
    <t>green3</t>
  </si>
  <si>
    <t>green4</t>
  </si>
  <si>
    <t>chartreuse2</t>
  </si>
  <si>
    <t>chartreuse3</t>
  </si>
  <si>
    <t>chartreuse4</t>
  </si>
  <si>
    <t>darkolivegreen1</t>
  </si>
  <si>
    <t>darkolivegreen2</t>
  </si>
  <si>
    <t>darkolivegreen3</t>
  </si>
  <si>
    <t>darkolivegreen4</t>
  </si>
  <si>
    <t>olivedrab1</t>
  </si>
  <si>
    <t>olivedrab2</t>
  </si>
  <si>
    <t>olivedrab4</t>
  </si>
  <si>
    <t>ivory2</t>
  </si>
  <si>
    <t>ivory3</t>
  </si>
  <si>
    <t>ivory4</t>
  </si>
  <si>
    <t>lightyellow2</t>
  </si>
  <si>
    <t>lightyellow3</t>
  </si>
  <si>
    <t>lightyellow4</t>
  </si>
  <si>
    <t>yellow2</t>
  </si>
  <si>
    <t>yellow3</t>
  </si>
  <si>
    <t>yellow4</t>
  </si>
  <si>
    <t>khaki1</t>
  </si>
  <si>
    <t>khaki2</t>
  </si>
  <si>
    <t>khaki3</t>
  </si>
  <si>
    <t>khaki4</t>
  </si>
  <si>
    <t>lemonchiffon2</t>
  </si>
  <si>
    <t>lemonchiffon3</t>
  </si>
  <si>
    <t>lemonchiffon4</t>
  </si>
  <si>
    <t>lightgoldenrod1</t>
  </si>
  <si>
    <t>lightgoldenrod2</t>
  </si>
  <si>
    <t>lightgoldenrod3</t>
  </si>
  <si>
    <t>lightgoldenrod4</t>
  </si>
  <si>
    <t>gold2</t>
  </si>
  <si>
    <t>gold3</t>
  </si>
  <si>
    <t>gold4</t>
  </si>
  <si>
    <t>cornsilk2</t>
  </si>
  <si>
    <t>cornsilk3</t>
  </si>
  <si>
    <t>cornsilk4</t>
  </si>
  <si>
    <t>goldenrod1</t>
  </si>
  <si>
    <t>goldenrod2</t>
  </si>
  <si>
    <t>goldenrod3</t>
  </si>
  <si>
    <t>goldenrod4</t>
  </si>
  <si>
    <t>darkgoldenrod1</t>
  </si>
  <si>
    <t>darkgoldenrod2</t>
  </si>
  <si>
    <t>darkgoldenrod3</t>
  </si>
  <si>
    <t>darkgoldenrod4</t>
  </si>
  <si>
    <t>orange2</t>
  </si>
  <si>
    <t>orange3</t>
  </si>
  <si>
    <t>wheat1</t>
  </si>
  <si>
    <t>wheat2</t>
  </si>
  <si>
    <t>wheat3</t>
  </si>
  <si>
    <t>wheat4</t>
  </si>
  <si>
    <t>navajowhite2</t>
  </si>
  <si>
    <t>navajowhite3</t>
  </si>
  <si>
    <t>navajowhite4</t>
  </si>
  <si>
    <t>antiquewhite1</t>
  </si>
  <si>
    <t>antiquewhite2</t>
  </si>
  <si>
    <t>antiquewhite3</t>
  </si>
  <si>
    <t>antiquewhite4</t>
  </si>
  <si>
    <t>burlywood1</t>
  </si>
  <si>
    <t>burlywood2</t>
  </si>
  <si>
    <t>burlywood3</t>
  </si>
  <si>
    <t>burlywood4</t>
  </si>
  <si>
    <t>bisque2</t>
  </si>
  <si>
    <t>bisque3</t>
  </si>
  <si>
    <t>bisque4</t>
  </si>
  <si>
    <t>darkorange1</t>
  </si>
  <si>
    <t>darkorange2</t>
  </si>
  <si>
    <t>darkorange3</t>
  </si>
  <si>
    <t>darkorange4</t>
  </si>
  <si>
    <t>tan1</t>
  </si>
  <si>
    <t>tan2</t>
  </si>
  <si>
    <t>tan4</t>
  </si>
  <si>
    <t>peachpuff2</t>
  </si>
  <si>
    <t>peachpuff3</t>
  </si>
  <si>
    <t>peachpuff4</t>
  </si>
  <si>
    <t>seashell2</t>
  </si>
  <si>
    <t>seashell3</t>
  </si>
  <si>
    <t>seashell4</t>
  </si>
  <si>
    <t>chocolate1</t>
  </si>
  <si>
    <t>chocolate2</t>
  </si>
  <si>
    <t>chocolate3</t>
  </si>
  <si>
    <t>sienna1</t>
  </si>
  <si>
    <t>sienna2</t>
  </si>
  <si>
    <t>sienna3</t>
  </si>
  <si>
    <t>sienna4</t>
  </si>
  <si>
    <t>lightsalmon2</t>
  </si>
  <si>
    <t>lightsalmon3</t>
  </si>
  <si>
    <t>lightsalmon4</t>
  </si>
  <si>
    <t>orangered2</t>
  </si>
  <si>
    <t>orangered3</t>
  </si>
  <si>
    <t>orangered4</t>
  </si>
  <si>
    <t>salmon1</t>
  </si>
  <si>
    <t>salmon2</t>
  </si>
  <si>
    <t>salmon3</t>
  </si>
  <si>
    <t>salmon4</t>
  </si>
  <si>
    <t>coral1</t>
  </si>
  <si>
    <t>coral2</t>
  </si>
  <si>
    <t>coral3</t>
  </si>
  <si>
    <t>coral4</t>
  </si>
  <si>
    <t>tomato2</t>
  </si>
  <si>
    <t>tomato3</t>
  </si>
  <si>
    <t>tomato4</t>
  </si>
  <si>
    <t>mistyrose2</t>
  </si>
  <si>
    <t>mistyrose3</t>
  </si>
  <si>
    <t>mistyrose4</t>
  </si>
  <si>
    <t>snow2</t>
  </si>
  <si>
    <t>snow3</t>
  </si>
  <si>
    <t>snow4</t>
  </si>
  <si>
    <t>rosybrown1</t>
  </si>
  <si>
    <t>rosybrown2</t>
  </si>
  <si>
    <t>rosybrown3</t>
  </si>
  <si>
    <t>rosybrown4</t>
  </si>
  <si>
    <t>indianred1</t>
  </si>
  <si>
    <t>indianred2</t>
  </si>
  <si>
    <t>indianred4</t>
  </si>
  <si>
    <t>indianred3</t>
  </si>
  <si>
    <t>brown1</t>
  </si>
  <si>
    <t>brown2</t>
  </si>
  <si>
    <t>brown3</t>
  </si>
  <si>
    <t>brown4</t>
  </si>
  <si>
    <t>firebrick1</t>
  </si>
  <si>
    <t>firebrick2</t>
  </si>
  <si>
    <t>firebrick3</t>
  </si>
  <si>
    <t>firebrick4</t>
  </si>
  <si>
    <t>red2</t>
  </si>
  <si>
    <t>red3</t>
  </si>
  <si>
    <t>sgibeet</t>
  </si>
  <si>
    <t>sgislateblue</t>
  </si>
  <si>
    <t>sgilightblue</t>
  </si>
  <si>
    <t>sgiteal</t>
  </si>
  <si>
    <t>sgichartreuse</t>
  </si>
  <si>
    <t>sgiolivedrab</t>
  </si>
  <si>
    <t>sgibrightgray</t>
  </si>
  <si>
    <t>sgisalmon</t>
  </si>
  <si>
    <t>sgidarkgray</t>
  </si>
  <si>
    <t>sgigray12</t>
  </si>
  <si>
    <t>sgigray16</t>
  </si>
  <si>
    <t>sgigray32</t>
  </si>
  <si>
    <t>sgigray36</t>
  </si>
  <si>
    <t>sgigray52</t>
  </si>
  <si>
    <t>sgigray56</t>
  </si>
  <si>
    <t>sgilightgray</t>
  </si>
  <si>
    <t>sgigray72</t>
  </si>
  <si>
    <t>sgigray76</t>
  </si>
  <si>
    <t>sgigray92</t>
  </si>
  <si>
    <t>sgigray96</t>
  </si>
  <si>
    <t>gray99</t>
  </si>
  <si>
    <t>gray98</t>
  </si>
  <si>
    <t>gray97</t>
  </si>
  <si>
    <t>gray95</t>
  </si>
  <si>
    <t>gray94</t>
  </si>
  <si>
    <t>gray93</t>
  </si>
  <si>
    <t>gray92</t>
  </si>
  <si>
    <t>gray91</t>
  </si>
  <si>
    <t>gray90</t>
  </si>
  <si>
    <t>gray89</t>
  </si>
  <si>
    <t>gray88</t>
  </si>
  <si>
    <t>gray87</t>
  </si>
  <si>
    <t>gray86</t>
  </si>
  <si>
    <t>gray85</t>
  </si>
  <si>
    <t>gray84</t>
  </si>
  <si>
    <t>gray83</t>
  </si>
  <si>
    <t>gray82</t>
  </si>
  <si>
    <t>gray81</t>
  </si>
  <si>
    <t>gray80</t>
  </si>
  <si>
    <t>gray79</t>
  </si>
  <si>
    <t>gray78</t>
  </si>
  <si>
    <t>gray77</t>
  </si>
  <si>
    <t>gray76</t>
  </si>
  <si>
    <t>gray75</t>
  </si>
  <si>
    <t>gray74</t>
  </si>
  <si>
    <t>gray73</t>
  </si>
  <si>
    <t>gray72</t>
  </si>
  <si>
    <t>gray71</t>
  </si>
  <si>
    <t>gray70</t>
  </si>
  <si>
    <t>gray69</t>
  </si>
  <si>
    <t>gray68</t>
  </si>
  <si>
    <t>gray67</t>
  </si>
  <si>
    <t>gray66</t>
  </si>
  <si>
    <t>gray65</t>
  </si>
  <si>
    <t>gray64</t>
  </si>
  <si>
    <t>gray63</t>
  </si>
  <si>
    <t>gray62</t>
  </si>
  <si>
    <t>gray61</t>
  </si>
  <si>
    <t>gray60</t>
  </si>
  <si>
    <t>gray59</t>
  </si>
  <si>
    <t>gray58</t>
  </si>
  <si>
    <t>gray57</t>
  </si>
  <si>
    <t>gray56</t>
  </si>
  <si>
    <t>gray55</t>
  </si>
  <si>
    <t>gray54</t>
  </si>
  <si>
    <t>gray53</t>
  </si>
  <si>
    <t>gray52</t>
  </si>
  <si>
    <t>gray51</t>
  </si>
  <si>
    <t>gray50</t>
  </si>
  <si>
    <t>gray49</t>
  </si>
  <si>
    <t>gray48</t>
  </si>
  <si>
    <t>gray47</t>
  </si>
  <si>
    <t>gray46</t>
  </si>
  <si>
    <t>gray45</t>
  </si>
  <si>
    <t>gray44</t>
  </si>
  <si>
    <t>gray43</t>
  </si>
  <si>
    <t>gray42</t>
  </si>
  <si>
    <t>gray40</t>
  </si>
  <si>
    <t>gray39</t>
  </si>
  <si>
    <t>gray38</t>
  </si>
  <si>
    <t>gray37</t>
  </si>
  <si>
    <t>gray36</t>
  </si>
  <si>
    <t>gray35</t>
  </si>
  <si>
    <t>gray34</t>
  </si>
  <si>
    <t>gray33</t>
  </si>
  <si>
    <t>gray32</t>
  </si>
  <si>
    <t>gray31</t>
  </si>
  <si>
    <t>gray30</t>
  </si>
  <si>
    <t>gray29</t>
  </si>
  <si>
    <t>gray28</t>
  </si>
  <si>
    <t>gray27</t>
  </si>
  <si>
    <t>gray26</t>
  </si>
  <si>
    <t>gray25</t>
  </si>
  <si>
    <t>gray24</t>
  </si>
  <si>
    <t>gray23</t>
  </si>
  <si>
    <t>gray22</t>
  </si>
  <si>
    <t>gray21</t>
  </si>
  <si>
    <t>gray20</t>
  </si>
  <si>
    <t>gray19</t>
  </si>
  <si>
    <t>gray18</t>
  </si>
  <si>
    <t>gray17</t>
  </si>
  <si>
    <t>gray16</t>
  </si>
  <si>
    <t>gray15</t>
  </si>
  <si>
    <t>gray14</t>
  </si>
  <si>
    <t>gray13</t>
  </si>
  <si>
    <t>gray12</t>
  </si>
  <si>
    <t>gray11</t>
  </si>
  <si>
    <t>gray10</t>
  </si>
  <si>
    <t>gray9</t>
  </si>
  <si>
    <t>gray8</t>
  </si>
  <si>
    <t>gray7</t>
  </si>
  <si>
    <t>gray6</t>
  </si>
  <si>
    <t>gray5</t>
  </si>
  <si>
    <t>gray4</t>
  </si>
  <si>
    <t>gray3</t>
  </si>
  <si>
    <t>gray2</t>
  </si>
  <si>
    <t>gray1</t>
  </si>
  <si>
    <t>magenta</t>
  </si>
  <si>
    <t>darkmagenta</t>
  </si>
  <si>
    <t>purple</t>
  </si>
  <si>
    <t>blue</t>
  </si>
  <si>
    <t>navy</t>
  </si>
  <si>
    <t>mediumblue</t>
  </si>
  <si>
    <t>darkblue</t>
  </si>
  <si>
    <t>cyan</t>
  </si>
  <si>
    <t>darkcyan</t>
  </si>
  <si>
    <t>teal</t>
  </si>
  <si>
    <t>mediumaquamarine</t>
  </si>
  <si>
    <t>lightgreen</t>
  </si>
  <si>
    <t>green</t>
  </si>
  <si>
    <t>yellowgreen</t>
  </si>
  <si>
    <t>lightyellow</t>
  </si>
  <si>
    <t>lavenderblush</t>
  </si>
  <si>
    <t>deeppink</t>
  </si>
  <si>
    <t>dodgerblue</t>
  </si>
  <si>
    <t>deepskyblue</t>
  </si>
  <si>
    <t>azure</t>
  </si>
  <si>
    <t>lightcyan</t>
  </si>
  <si>
    <t>paleturquoise</t>
  </si>
  <si>
    <t>seagreen</t>
  </si>
  <si>
    <t>honeydew</t>
  </si>
  <si>
    <t>lime</t>
  </si>
  <si>
    <t>chartreuse</t>
  </si>
  <si>
    <t>ivory</t>
  </si>
  <si>
    <t>yellow</t>
  </si>
  <si>
    <t>olive</t>
  </si>
  <si>
    <t>lemonchiffon</t>
  </si>
  <si>
    <t>gold</t>
  </si>
  <si>
    <t>cornsilk</t>
  </si>
  <si>
    <t>navajowhite</t>
  </si>
  <si>
    <t>bisque</t>
  </si>
  <si>
    <t>peru</t>
  </si>
  <si>
    <t>peachpuff</t>
  </si>
  <si>
    <t>seashell</t>
  </si>
  <si>
    <t>saddlebrown</t>
  </si>
  <si>
    <t>lightsalmon</t>
  </si>
  <si>
    <t>orangered</t>
  </si>
  <si>
    <t>tomato</t>
  </si>
  <si>
    <t>mistyrose</t>
  </si>
  <si>
    <t>snow</t>
  </si>
  <si>
    <t>red</t>
  </si>
  <si>
    <t>darkred</t>
  </si>
  <si>
    <t>maroon</t>
  </si>
  <si>
    <t>white</t>
  </si>
  <si>
    <t>whitesmoke</t>
  </si>
  <si>
    <t>silver</t>
  </si>
  <si>
    <t>gray</t>
  </si>
  <si>
    <t>dimgray</t>
  </si>
  <si>
    <t>black</t>
  </si>
  <si>
    <t>gray96</t>
  </si>
  <si>
    <t>Name</t>
  </si>
  <si>
    <t>Color</t>
  </si>
  <si>
    <t>R8</t>
  </si>
  <si>
    <t>G8</t>
  </si>
  <si>
    <t>B8</t>
  </si>
  <si>
    <t>R5G6B5</t>
  </si>
  <si>
    <t>Bascom Color</t>
  </si>
  <si>
    <t xml:space="preserve">Source: </t>
  </si>
  <si>
    <t>http://cloford.com/resources/colours/500col.htm</t>
  </si>
  <si>
    <t>orange5</t>
  </si>
  <si>
    <t>indianred5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</si>
</sst>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53">
    <fill>
      <patternFill patternType="none"/>
    </fill>
    <fill>
      <patternFill patternType="gray125"/>
    </fill>
    <fill>
      <patternFill patternType="solid">
        <fgColor rgb="FFB0171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872657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3D59AB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33A1C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03A89E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808A87"/>
        <bgColor indexed="64"/>
      </patternFill>
    </fill>
    <fill>
      <patternFill patternType="solid">
        <fgColor rgb="FF00C78C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00C957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3D914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308014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808069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E3CF5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FCE6C9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C661F"/>
        <bgColor indexed="64"/>
      </patternFill>
    </fill>
    <fill>
      <patternFill patternType="solid">
        <fgColor rgb="FFFF9912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3A869"/>
        <bgColor indexed="64"/>
      </patternFill>
    </fill>
    <fill>
      <patternFill patternType="solid">
        <fgColor rgb="FFED9121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C76114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292421"/>
        <bgColor indexed="64"/>
      </patternFill>
    </fill>
    <fill>
      <patternFill patternType="solid">
        <fgColor rgb="FFFF7D40"/>
        <bgColor indexed="64"/>
      </patternFill>
    </fill>
    <fill>
      <patternFill patternType="solid">
        <fgColor rgb="FFFF6103"/>
        <bgColor indexed="64"/>
      </patternFill>
    </fill>
    <fill>
      <patternFill patternType="solid">
        <fgColor rgb="FF8A360F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5E261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A3324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E388E"/>
        <bgColor indexed="64"/>
      </patternFill>
    </fill>
    <fill>
      <patternFill patternType="solid">
        <fgColor rgb="FF7171C6"/>
        <bgColor indexed="64"/>
      </patternFill>
    </fill>
    <fill>
      <patternFill patternType="solid">
        <fgColor rgb="FF7D9EC0"/>
        <bgColor indexed="64"/>
      </patternFill>
    </fill>
    <fill>
      <patternFill patternType="solid">
        <fgColor rgb="FF388E8E"/>
        <bgColor indexed="64"/>
      </patternFill>
    </fill>
    <fill>
      <patternFill patternType="solid">
        <fgColor rgb="FF71C671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C5C1AA"/>
        <bgColor indexed="64"/>
      </patternFill>
    </fill>
    <fill>
      <patternFill patternType="solid">
        <fgColor rgb="FFC67171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64">
    <xf numFmtId="0" fontId="0" fillId="0" borderId="0" xfId="0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11" borderId="0" xfId="0" applyFill="1" applyAlignment="1">
      <alignment wrapText="1"/>
    </xf>
    <xf numFmtId="0" fontId="0" fillId="12" borderId="0" xfId="0" applyFill="1" applyAlignment="1">
      <alignment wrapText="1"/>
    </xf>
    <xf numFmtId="0" fontId="0" fillId="13" borderId="0" xfId="0" applyFill="1" applyAlignment="1">
      <alignment wrapText="1"/>
    </xf>
    <xf numFmtId="0" fontId="0" fillId="14" borderId="0" xfId="0" applyFill="1" applyAlignment="1">
      <alignment wrapText="1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7" borderId="0" xfId="0" applyFill="1" applyAlignment="1">
      <alignment wrapText="1"/>
    </xf>
    <xf numFmtId="0" fontId="0" fillId="18" borderId="0" xfId="0" applyFill="1" applyAlignment="1">
      <alignment wrapText="1"/>
    </xf>
    <xf numFmtId="0" fontId="0" fillId="19" borderId="0" xfId="0" applyFill="1" applyAlignment="1">
      <alignment wrapText="1"/>
    </xf>
    <xf numFmtId="0" fontId="0" fillId="20" borderId="0" xfId="0" applyFill="1" applyAlignment="1">
      <alignment wrapText="1"/>
    </xf>
    <xf numFmtId="0" fontId="0" fillId="21" borderId="0" xfId="0" applyFill="1" applyAlignment="1">
      <alignment wrapText="1"/>
    </xf>
    <xf numFmtId="0" fontId="0" fillId="22" borderId="0" xfId="0" applyFill="1" applyAlignment="1">
      <alignment wrapText="1"/>
    </xf>
    <xf numFmtId="0" fontId="0" fillId="23" borderId="0" xfId="0" applyFill="1" applyAlignment="1">
      <alignment wrapText="1"/>
    </xf>
    <xf numFmtId="0" fontId="0" fillId="24" borderId="0" xfId="0" applyFill="1" applyAlignment="1">
      <alignment wrapText="1"/>
    </xf>
    <xf numFmtId="0" fontId="0" fillId="25" borderId="0" xfId="0" applyFill="1" applyAlignment="1">
      <alignment wrapText="1"/>
    </xf>
    <xf numFmtId="0" fontId="0" fillId="26" borderId="0" xfId="0" applyFill="1" applyAlignment="1">
      <alignment wrapText="1"/>
    </xf>
    <xf numFmtId="0" fontId="0" fillId="27" borderId="0" xfId="0" applyFill="1" applyAlignment="1">
      <alignment wrapText="1"/>
    </xf>
    <xf numFmtId="0" fontId="0" fillId="28" borderId="0" xfId="0" applyFill="1" applyAlignment="1">
      <alignment wrapText="1"/>
    </xf>
    <xf numFmtId="0" fontId="0" fillId="29" borderId="0" xfId="0" applyFill="1" applyAlignment="1">
      <alignment wrapText="1"/>
    </xf>
    <xf numFmtId="0" fontId="0" fillId="30" borderId="0" xfId="0" applyFill="1" applyAlignment="1">
      <alignment wrapText="1"/>
    </xf>
    <xf numFmtId="0" fontId="0" fillId="31" borderId="0" xfId="0" applyFill="1" applyAlignment="1">
      <alignment wrapText="1"/>
    </xf>
    <xf numFmtId="0" fontId="0" fillId="32" borderId="0" xfId="0" applyFill="1" applyAlignment="1">
      <alignment wrapText="1"/>
    </xf>
    <xf numFmtId="0" fontId="0" fillId="33" borderId="0" xfId="0" applyFill="1" applyAlignment="1">
      <alignment wrapText="1"/>
    </xf>
    <xf numFmtId="0" fontId="0" fillId="34" borderId="0" xfId="0" applyFill="1" applyAlignment="1">
      <alignment wrapText="1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37" borderId="0" xfId="0" applyFill="1" applyAlignment="1">
      <alignment wrapText="1"/>
    </xf>
    <xf numFmtId="0" fontId="0" fillId="38" borderId="0" xfId="0" applyFill="1" applyAlignment="1">
      <alignment wrapText="1"/>
    </xf>
    <xf numFmtId="0" fontId="0" fillId="39" borderId="0" xfId="0" applyFill="1" applyAlignment="1">
      <alignment wrapText="1"/>
    </xf>
    <xf numFmtId="0" fontId="0" fillId="40" borderId="0" xfId="0" applyFill="1" applyAlignment="1">
      <alignment wrapText="1"/>
    </xf>
    <xf numFmtId="0" fontId="0" fillId="41" borderId="0" xfId="0" applyFill="1" applyAlignment="1">
      <alignment wrapText="1"/>
    </xf>
    <xf numFmtId="0" fontId="0" fillId="42" borderId="0" xfId="0" applyFill="1" applyAlignment="1">
      <alignment wrapText="1"/>
    </xf>
    <xf numFmtId="0" fontId="0" fillId="43" borderId="0" xfId="0" applyFill="1" applyAlignment="1">
      <alignment wrapText="1"/>
    </xf>
    <xf numFmtId="0" fontId="0" fillId="44" borderId="0" xfId="0" applyFill="1" applyAlignment="1">
      <alignment wrapText="1"/>
    </xf>
    <xf numFmtId="0" fontId="0" fillId="45" borderId="0" xfId="0" applyFill="1" applyAlignment="1">
      <alignment wrapText="1"/>
    </xf>
    <xf numFmtId="0" fontId="0" fillId="46" borderId="0" xfId="0" applyFill="1" applyAlignment="1">
      <alignment wrapText="1"/>
    </xf>
    <xf numFmtId="0" fontId="0" fillId="47" borderId="0" xfId="0" applyFill="1" applyAlignment="1">
      <alignment wrapText="1"/>
    </xf>
    <xf numFmtId="0" fontId="0" fillId="48" borderId="0" xfId="0" applyFill="1" applyAlignment="1">
      <alignment wrapText="1"/>
    </xf>
    <xf numFmtId="0" fontId="0" fillId="49" borderId="0" xfId="0" applyFill="1" applyAlignment="1">
      <alignment wrapText="1"/>
    </xf>
    <xf numFmtId="0" fontId="0" fillId="50" borderId="0" xfId="0" applyFill="1" applyAlignment="1">
      <alignment wrapText="1"/>
    </xf>
    <xf numFmtId="0" fontId="0" fillId="51" borderId="0" xfId="0" applyFill="1" applyAlignment="1">
      <alignment wrapText="1"/>
    </xf>
    <xf numFmtId="0" fontId="0" fillId="52" borderId="0" xfId="0" applyFill="1" applyAlignment="1">
      <alignment wrapText="1"/>
    </xf>
    <xf numFmtId="0" fontId="0" fillId="53" borderId="0" xfId="0" applyFill="1" applyAlignment="1">
      <alignment wrapText="1"/>
    </xf>
    <xf numFmtId="0" fontId="0" fillId="54" borderId="0" xfId="0" applyFill="1" applyAlignment="1">
      <alignment wrapText="1"/>
    </xf>
    <xf numFmtId="0" fontId="0" fillId="55" borderId="0" xfId="0" applyFill="1" applyAlignment="1">
      <alignment wrapText="1"/>
    </xf>
    <xf numFmtId="0" fontId="0" fillId="56" borderId="0" xfId="0" applyFill="1" applyAlignment="1">
      <alignment wrapText="1"/>
    </xf>
    <xf numFmtId="0" fontId="0" fillId="57" borderId="0" xfId="0" applyFill="1" applyAlignment="1">
      <alignment wrapText="1"/>
    </xf>
    <xf numFmtId="0" fontId="0" fillId="58" borderId="0" xfId="0" applyFill="1" applyAlignment="1">
      <alignment wrapText="1"/>
    </xf>
    <xf numFmtId="0" fontId="0" fillId="59" borderId="0" xfId="0" applyFill="1" applyAlignment="1">
      <alignment wrapText="1"/>
    </xf>
    <xf numFmtId="0" fontId="0" fillId="60" borderId="0" xfId="0" applyFill="1" applyAlignment="1">
      <alignment wrapText="1"/>
    </xf>
    <xf numFmtId="0" fontId="0" fillId="61" borderId="0" xfId="0" applyFill="1" applyAlignment="1">
      <alignment wrapText="1"/>
    </xf>
    <xf numFmtId="0" fontId="0" fillId="62" borderId="0" xfId="0" applyFill="1" applyAlignment="1">
      <alignment wrapText="1"/>
    </xf>
    <xf numFmtId="0" fontId="0" fillId="63" borderId="0" xfId="0" applyFill="1" applyAlignment="1">
      <alignment wrapText="1"/>
    </xf>
    <xf numFmtId="0" fontId="0" fillId="64" borderId="0" xfId="0" applyFill="1" applyAlignment="1">
      <alignment wrapText="1"/>
    </xf>
    <xf numFmtId="0" fontId="0" fillId="65" borderId="0" xfId="0" applyFill="1" applyAlignment="1">
      <alignment wrapText="1"/>
    </xf>
    <xf numFmtId="0" fontId="0" fillId="66" borderId="0" xfId="0" applyFill="1" applyAlignment="1">
      <alignment wrapText="1"/>
    </xf>
    <xf numFmtId="0" fontId="0" fillId="67" borderId="0" xfId="0" applyFill="1" applyAlignment="1">
      <alignment wrapText="1"/>
    </xf>
    <xf numFmtId="0" fontId="0" fillId="68" borderId="0" xfId="0" applyFill="1" applyAlignment="1">
      <alignment wrapText="1"/>
    </xf>
    <xf numFmtId="0" fontId="0" fillId="69" borderId="0" xfId="0" applyFill="1" applyAlignment="1">
      <alignment wrapText="1"/>
    </xf>
    <xf numFmtId="0" fontId="0" fillId="70" borderId="0" xfId="0" applyFill="1" applyAlignment="1">
      <alignment wrapText="1"/>
    </xf>
    <xf numFmtId="0" fontId="0" fillId="71" borderId="0" xfId="0" applyFill="1" applyAlignment="1">
      <alignment wrapText="1"/>
    </xf>
    <xf numFmtId="0" fontId="0" fillId="72" borderId="0" xfId="0" applyFill="1" applyAlignment="1">
      <alignment wrapText="1"/>
    </xf>
    <xf numFmtId="0" fontId="0" fillId="73" borderId="0" xfId="0" applyFill="1" applyAlignment="1">
      <alignment wrapText="1"/>
    </xf>
    <xf numFmtId="0" fontId="0" fillId="74" borderId="0" xfId="0" applyFill="1" applyAlignment="1">
      <alignment wrapText="1"/>
    </xf>
    <xf numFmtId="0" fontId="0" fillId="75" borderId="0" xfId="0" applyFill="1" applyAlignment="1">
      <alignment wrapText="1"/>
    </xf>
    <xf numFmtId="0" fontId="0" fillId="76" borderId="0" xfId="0" applyFill="1" applyAlignment="1">
      <alignment wrapText="1"/>
    </xf>
    <xf numFmtId="0" fontId="0" fillId="77" borderId="0" xfId="0" applyFill="1" applyAlignment="1">
      <alignment wrapText="1"/>
    </xf>
    <xf numFmtId="0" fontId="0" fillId="78" borderId="0" xfId="0" applyFill="1" applyAlignment="1">
      <alignment wrapText="1"/>
    </xf>
    <xf numFmtId="0" fontId="0" fillId="79" borderId="0" xfId="0" applyFill="1" applyAlignment="1">
      <alignment wrapText="1"/>
    </xf>
    <xf numFmtId="0" fontId="0" fillId="80" borderId="0" xfId="0" applyFill="1" applyAlignment="1">
      <alignment wrapText="1"/>
    </xf>
    <xf numFmtId="0" fontId="0" fillId="81" borderId="0" xfId="0" applyFill="1" applyAlignment="1">
      <alignment wrapText="1"/>
    </xf>
    <xf numFmtId="0" fontId="0" fillId="82" borderId="0" xfId="0" applyFill="1" applyAlignment="1">
      <alignment wrapText="1"/>
    </xf>
    <xf numFmtId="0" fontId="0" fillId="83" borderId="0" xfId="0" applyFill="1" applyAlignment="1">
      <alignment wrapText="1"/>
    </xf>
    <xf numFmtId="0" fontId="0" fillId="84" borderId="0" xfId="0" applyFill="1" applyAlignment="1">
      <alignment wrapText="1"/>
    </xf>
    <xf numFmtId="0" fontId="0" fillId="85" borderId="0" xfId="0" applyFill="1" applyAlignment="1">
      <alignment wrapText="1"/>
    </xf>
    <xf numFmtId="0" fontId="0" fillId="86" borderId="0" xfId="0" applyFill="1" applyAlignment="1">
      <alignment wrapText="1"/>
    </xf>
    <xf numFmtId="0" fontId="0" fillId="87" borderId="0" xfId="0" applyFill="1" applyAlignment="1">
      <alignment wrapText="1"/>
    </xf>
    <xf numFmtId="0" fontId="0" fillId="88" borderId="0" xfId="0" applyFill="1" applyAlignment="1">
      <alignment wrapText="1"/>
    </xf>
    <xf numFmtId="0" fontId="0" fillId="89" borderId="0" xfId="0" applyFill="1" applyAlignment="1">
      <alignment wrapText="1"/>
    </xf>
    <xf numFmtId="0" fontId="0" fillId="90" borderId="0" xfId="0" applyFill="1" applyAlignment="1">
      <alignment wrapText="1"/>
    </xf>
    <xf numFmtId="0" fontId="0" fillId="91" borderId="0" xfId="0" applyFill="1" applyAlignment="1">
      <alignment wrapText="1"/>
    </xf>
    <xf numFmtId="0" fontId="0" fillId="92" borderId="0" xfId="0" applyFill="1" applyAlignment="1">
      <alignment wrapText="1"/>
    </xf>
    <xf numFmtId="0" fontId="0" fillId="93" borderId="0" xfId="0" applyFill="1" applyAlignment="1">
      <alignment wrapText="1"/>
    </xf>
    <xf numFmtId="0" fontId="0" fillId="94" borderId="0" xfId="0" applyFill="1" applyAlignment="1">
      <alignment wrapText="1"/>
    </xf>
    <xf numFmtId="0" fontId="0" fillId="95" borderId="0" xfId="0" applyFill="1" applyAlignment="1">
      <alignment wrapText="1"/>
    </xf>
    <xf numFmtId="0" fontId="0" fillId="96" borderId="0" xfId="0" applyFill="1" applyAlignment="1">
      <alignment wrapText="1"/>
    </xf>
    <xf numFmtId="0" fontId="0" fillId="97" borderId="0" xfId="0" applyFill="1" applyAlignment="1">
      <alignment wrapText="1"/>
    </xf>
    <xf numFmtId="0" fontId="0" fillId="98" borderId="0" xfId="0" applyFill="1" applyAlignment="1">
      <alignment wrapText="1"/>
    </xf>
    <xf numFmtId="0" fontId="0" fillId="99" borderId="0" xfId="0" applyFill="1" applyAlignment="1">
      <alignment wrapText="1"/>
    </xf>
    <xf numFmtId="0" fontId="0" fillId="100" borderId="0" xfId="0" applyFill="1" applyAlignment="1">
      <alignment wrapText="1"/>
    </xf>
    <xf numFmtId="0" fontId="0" fillId="101" borderId="0" xfId="0" applyFill="1" applyAlignment="1">
      <alignment wrapText="1"/>
    </xf>
    <xf numFmtId="0" fontId="0" fillId="102" borderId="0" xfId="0" applyFill="1" applyAlignment="1">
      <alignment wrapText="1"/>
    </xf>
    <xf numFmtId="0" fontId="0" fillId="103" borderId="0" xfId="0" applyFill="1" applyAlignment="1">
      <alignment wrapText="1"/>
    </xf>
    <xf numFmtId="0" fontId="0" fillId="104" borderId="0" xfId="0" applyFill="1" applyAlignment="1">
      <alignment wrapText="1"/>
    </xf>
    <xf numFmtId="0" fontId="0" fillId="105" borderId="0" xfId="0" applyFill="1" applyAlignment="1">
      <alignment wrapText="1"/>
    </xf>
    <xf numFmtId="0" fontId="0" fillId="106" borderId="0" xfId="0" applyFill="1" applyAlignment="1">
      <alignment wrapText="1"/>
    </xf>
    <xf numFmtId="0" fontId="0" fillId="107" borderId="0" xfId="0" applyFill="1" applyAlignment="1">
      <alignment wrapText="1"/>
    </xf>
    <xf numFmtId="0" fontId="0" fillId="108" borderId="0" xfId="0" applyFill="1" applyAlignment="1">
      <alignment wrapText="1"/>
    </xf>
    <xf numFmtId="0" fontId="0" fillId="109" borderId="0" xfId="0" applyFill="1" applyAlignment="1">
      <alignment wrapText="1"/>
    </xf>
    <xf numFmtId="0" fontId="0" fillId="110" borderId="0" xfId="0" applyFill="1" applyAlignment="1">
      <alignment wrapText="1"/>
    </xf>
    <xf numFmtId="0" fontId="0" fillId="111" borderId="0" xfId="0" applyFill="1" applyAlignment="1">
      <alignment wrapText="1"/>
    </xf>
    <xf numFmtId="0" fontId="0" fillId="112" borderId="0" xfId="0" applyFill="1" applyAlignment="1">
      <alignment wrapText="1"/>
    </xf>
    <xf numFmtId="0" fontId="0" fillId="113" borderId="0" xfId="0" applyFill="1" applyAlignment="1">
      <alignment wrapText="1"/>
    </xf>
    <xf numFmtId="0" fontId="0" fillId="114" borderId="0" xfId="0" applyFill="1" applyAlignment="1">
      <alignment wrapText="1"/>
    </xf>
    <xf numFmtId="0" fontId="0" fillId="115" borderId="0" xfId="0" applyFill="1" applyAlignment="1">
      <alignment wrapText="1"/>
    </xf>
    <xf numFmtId="0" fontId="0" fillId="116" borderId="0" xfId="0" applyFill="1" applyAlignment="1">
      <alignment wrapText="1"/>
    </xf>
    <xf numFmtId="0" fontId="0" fillId="117" borderId="0" xfId="0" applyFill="1" applyAlignment="1">
      <alignment wrapText="1"/>
    </xf>
    <xf numFmtId="0" fontId="0" fillId="118" borderId="0" xfId="0" applyFill="1" applyAlignment="1">
      <alignment wrapText="1"/>
    </xf>
    <xf numFmtId="0" fontId="0" fillId="119" borderId="0" xfId="0" applyFill="1" applyAlignment="1">
      <alignment wrapText="1"/>
    </xf>
    <xf numFmtId="0" fontId="0" fillId="120" borderId="0" xfId="0" applyFill="1" applyAlignment="1">
      <alignment wrapText="1"/>
    </xf>
    <xf numFmtId="0" fontId="0" fillId="121" borderId="0" xfId="0" applyFill="1" applyAlignment="1">
      <alignment wrapText="1"/>
    </xf>
    <xf numFmtId="0" fontId="0" fillId="122" borderId="0" xfId="0" applyFill="1" applyAlignment="1">
      <alignment wrapText="1"/>
    </xf>
    <xf numFmtId="0" fontId="0" fillId="123" borderId="0" xfId="0" applyFill="1" applyAlignment="1">
      <alignment wrapText="1"/>
    </xf>
    <xf numFmtId="0" fontId="0" fillId="124" borderId="0" xfId="0" applyFill="1" applyAlignment="1">
      <alignment wrapText="1"/>
    </xf>
    <xf numFmtId="0" fontId="0" fillId="125" borderId="0" xfId="0" applyFill="1" applyAlignment="1">
      <alignment wrapText="1"/>
    </xf>
    <xf numFmtId="0" fontId="0" fillId="126" borderId="0" xfId="0" applyFill="1" applyAlignment="1">
      <alignment wrapText="1"/>
    </xf>
    <xf numFmtId="0" fontId="0" fillId="127" borderId="0" xfId="0" applyFill="1" applyAlignment="1">
      <alignment wrapText="1"/>
    </xf>
    <xf numFmtId="0" fontId="0" fillId="128" borderId="0" xfId="0" applyFill="1" applyAlignment="1">
      <alignment wrapText="1"/>
    </xf>
    <xf numFmtId="0" fontId="0" fillId="129" borderId="0" xfId="0" applyFill="1" applyAlignment="1">
      <alignment wrapText="1"/>
    </xf>
    <xf numFmtId="0" fontId="0" fillId="130" borderId="0" xfId="0" applyFill="1" applyAlignment="1">
      <alignment wrapText="1"/>
    </xf>
    <xf numFmtId="0" fontId="0" fillId="131" borderId="0" xfId="0" applyFill="1" applyAlignment="1">
      <alignment wrapText="1"/>
    </xf>
    <xf numFmtId="0" fontId="0" fillId="132" borderId="0" xfId="0" applyFill="1" applyAlignment="1">
      <alignment wrapText="1"/>
    </xf>
    <xf numFmtId="0" fontId="0" fillId="133" borderId="0" xfId="0" applyFill="1" applyAlignment="1">
      <alignment wrapText="1"/>
    </xf>
    <xf numFmtId="0" fontId="0" fillId="134" borderId="0" xfId="0" applyFill="1" applyAlignment="1">
      <alignment wrapText="1"/>
    </xf>
    <xf numFmtId="0" fontId="0" fillId="135" borderId="0" xfId="0" applyFill="1" applyAlignment="1">
      <alignment wrapText="1"/>
    </xf>
    <xf numFmtId="0" fontId="0" fillId="136" borderId="0" xfId="0" applyFill="1" applyAlignment="1">
      <alignment wrapText="1"/>
    </xf>
    <xf numFmtId="0" fontId="0" fillId="137" borderId="0" xfId="0" applyFill="1" applyAlignment="1">
      <alignment wrapText="1"/>
    </xf>
    <xf numFmtId="0" fontId="0" fillId="138" borderId="0" xfId="0" applyFill="1" applyAlignment="1">
      <alignment wrapText="1"/>
    </xf>
    <xf numFmtId="0" fontId="0" fillId="139" borderId="0" xfId="0" applyFill="1" applyAlignment="1">
      <alignment wrapText="1"/>
    </xf>
    <xf numFmtId="0" fontId="0" fillId="140" borderId="0" xfId="0" applyFill="1" applyAlignment="1">
      <alignment wrapText="1"/>
    </xf>
    <xf numFmtId="0" fontId="0" fillId="141" borderId="0" xfId="0" applyFill="1" applyAlignment="1">
      <alignment wrapText="1"/>
    </xf>
    <xf numFmtId="0" fontId="0" fillId="142" borderId="0" xfId="0" applyFill="1" applyAlignment="1">
      <alignment wrapText="1"/>
    </xf>
    <xf numFmtId="0" fontId="0" fillId="143" borderId="0" xfId="0" applyFill="1" applyAlignment="1">
      <alignment wrapText="1"/>
    </xf>
    <xf numFmtId="0" fontId="0" fillId="144" borderId="0" xfId="0" applyFill="1" applyAlignment="1">
      <alignment wrapText="1"/>
    </xf>
    <xf numFmtId="0" fontId="0" fillId="145" borderId="0" xfId="0" applyFill="1" applyAlignment="1">
      <alignment wrapText="1"/>
    </xf>
    <xf numFmtId="0" fontId="0" fillId="146" borderId="0" xfId="0" applyFill="1" applyAlignment="1">
      <alignment wrapText="1"/>
    </xf>
    <xf numFmtId="0" fontId="0" fillId="147" borderId="0" xfId="0" applyFill="1" applyAlignment="1">
      <alignment wrapText="1"/>
    </xf>
    <xf numFmtId="0" fontId="0" fillId="148" borderId="0" xfId="0" applyFill="1" applyAlignment="1">
      <alignment wrapText="1"/>
    </xf>
    <xf numFmtId="0" fontId="0" fillId="149" borderId="0" xfId="0" applyFill="1" applyAlignment="1">
      <alignment wrapText="1"/>
    </xf>
    <xf numFmtId="0" fontId="0" fillId="150" borderId="0" xfId="0" applyFill="1" applyAlignment="1">
      <alignment wrapText="1"/>
    </xf>
    <xf numFmtId="0" fontId="0" fillId="151" borderId="0" xfId="0" applyFill="1" applyAlignment="1">
      <alignment wrapText="1"/>
    </xf>
    <xf numFmtId="0" fontId="0" fillId="152" borderId="0" xfId="0" applyFill="1" applyAlignment="1">
      <alignment wrapText="1"/>
    </xf>
    <xf numFmtId="0" fontId="0" fillId="153" borderId="0" xfId="0" applyFill="1" applyAlignment="1">
      <alignment wrapText="1"/>
    </xf>
    <xf numFmtId="0" fontId="0" fillId="154" borderId="0" xfId="0" applyFill="1" applyAlignment="1">
      <alignment wrapText="1"/>
    </xf>
    <xf numFmtId="0" fontId="0" fillId="155" borderId="0" xfId="0" applyFill="1" applyAlignment="1">
      <alignment wrapText="1"/>
    </xf>
    <xf numFmtId="0" fontId="0" fillId="156" borderId="0" xfId="0" applyFill="1" applyAlignment="1">
      <alignment wrapText="1"/>
    </xf>
    <xf numFmtId="0" fontId="0" fillId="157" borderId="0" xfId="0" applyFill="1" applyAlignment="1">
      <alignment wrapText="1"/>
    </xf>
    <xf numFmtId="0" fontId="0" fillId="158" borderId="0" xfId="0" applyFill="1" applyAlignment="1">
      <alignment wrapText="1"/>
    </xf>
    <xf numFmtId="0" fontId="0" fillId="159" borderId="0" xfId="0" applyFill="1" applyAlignment="1">
      <alignment wrapText="1"/>
    </xf>
    <xf numFmtId="0" fontId="0" fillId="160" borderId="0" xfId="0" applyFill="1" applyAlignment="1">
      <alignment wrapText="1"/>
    </xf>
    <xf numFmtId="0" fontId="0" fillId="161" borderId="0" xfId="0" applyFill="1" applyAlignment="1">
      <alignment wrapText="1"/>
    </xf>
    <xf numFmtId="0" fontId="0" fillId="162" borderId="0" xfId="0" applyFill="1" applyAlignment="1">
      <alignment wrapText="1"/>
    </xf>
    <xf numFmtId="0" fontId="0" fillId="163" borderId="0" xfId="0" applyFill="1" applyAlignment="1">
      <alignment wrapText="1"/>
    </xf>
    <xf numFmtId="0" fontId="0" fillId="164" borderId="0" xfId="0" applyFill="1" applyAlignment="1">
      <alignment wrapText="1"/>
    </xf>
    <xf numFmtId="0" fontId="0" fillId="165" borderId="0" xfId="0" applyFill="1" applyAlignment="1">
      <alignment wrapText="1"/>
    </xf>
    <xf numFmtId="0" fontId="0" fillId="166" borderId="0" xfId="0" applyFill="1" applyAlignment="1">
      <alignment wrapText="1"/>
    </xf>
    <xf numFmtId="0" fontId="0" fillId="167" borderId="0" xfId="0" applyFill="1" applyAlignment="1">
      <alignment wrapText="1"/>
    </xf>
    <xf numFmtId="0" fontId="0" fillId="168" borderId="0" xfId="0" applyFill="1" applyAlignment="1">
      <alignment wrapText="1"/>
    </xf>
    <xf numFmtId="0" fontId="0" fillId="169" borderId="0" xfId="0" applyFill="1" applyAlignment="1">
      <alignment wrapText="1"/>
    </xf>
    <xf numFmtId="0" fontId="0" fillId="170" borderId="0" xfId="0" applyFill="1" applyAlignment="1">
      <alignment wrapText="1"/>
    </xf>
    <xf numFmtId="0" fontId="0" fillId="171" borderId="0" xfId="0" applyFill="1" applyAlignment="1">
      <alignment wrapText="1"/>
    </xf>
    <xf numFmtId="0" fontId="0" fillId="172" borderId="0" xfId="0" applyFill="1" applyAlignment="1">
      <alignment wrapText="1"/>
    </xf>
    <xf numFmtId="0" fontId="0" fillId="173" borderId="0" xfId="0" applyFill="1" applyAlignment="1">
      <alignment wrapText="1"/>
    </xf>
    <xf numFmtId="0" fontId="0" fillId="174" borderId="0" xfId="0" applyFill="1" applyAlignment="1">
      <alignment wrapText="1"/>
    </xf>
    <xf numFmtId="0" fontId="0" fillId="175" borderId="0" xfId="0" applyFill="1" applyAlignment="1">
      <alignment wrapText="1"/>
    </xf>
    <xf numFmtId="0" fontId="0" fillId="176" borderId="0" xfId="0" applyFill="1" applyAlignment="1">
      <alignment wrapText="1"/>
    </xf>
    <xf numFmtId="0" fontId="0" fillId="177" borderId="0" xfId="0" applyFill="1" applyAlignment="1">
      <alignment wrapText="1"/>
    </xf>
    <xf numFmtId="0" fontId="0" fillId="178" borderId="0" xfId="0" applyFill="1" applyAlignment="1">
      <alignment wrapText="1"/>
    </xf>
    <xf numFmtId="0" fontId="0" fillId="179" borderId="0" xfId="0" applyFill="1" applyAlignment="1">
      <alignment wrapText="1"/>
    </xf>
    <xf numFmtId="0" fontId="0" fillId="180" borderId="0" xfId="0" applyFill="1" applyAlignment="1">
      <alignment wrapText="1"/>
    </xf>
    <xf numFmtId="0" fontId="0" fillId="181" borderId="0" xfId="0" applyFill="1" applyAlignment="1">
      <alignment wrapText="1"/>
    </xf>
    <xf numFmtId="0" fontId="0" fillId="182" borderId="0" xfId="0" applyFill="1" applyAlignment="1">
      <alignment wrapText="1"/>
    </xf>
    <xf numFmtId="0" fontId="0" fillId="183" borderId="0" xfId="0" applyFill="1" applyAlignment="1">
      <alignment wrapText="1"/>
    </xf>
    <xf numFmtId="0" fontId="0" fillId="184" borderId="0" xfId="0" applyFill="1" applyAlignment="1">
      <alignment wrapText="1"/>
    </xf>
    <xf numFmtId="0" fontId="0" fillId="185" borderId="0" xfId="0" applyFill="1" applyAlignment="1">
      <alignment wrapText="1"/>
    </xf>
    <xf numFmtId="0" fontId="0" fillId="186" borderId="0" xfId="0" applyFill="1" applyAlignment="1">
      <alignment wrapText="1"/>
    </xf>
    <xf numFmtId="0" fontId="0" fillId="187" borderId="0" xfId="0" applyFill="1" applyAlignment="1">
      <alignment wrapText="1"/>
    </xf>
    <xf numFmtId="0" fontId="0" fillId="188" borderId="0" xfId="0" applyFill="1" applyAlignment="1">
      <alignment wrapText="1"/>
    </xf>
    <xf numFmtId="0" fontId="0" fillId="189" borderId="0" xfId="0" applyFill="1" applyAlignment="1">
      <alignment wrapText="1"/>
    </xf>
    <xf numFmtId="0" fontId="0" fillId="190" borderId="0" xfId="0" applyFill="1" applyAlignment="1">
      <alignment wrapText="1"/>
    </xf>
    <xf numFmtId="0" fontId="0" fillId="191" borderId="0" xfId="0" applyFill="1" applyAlignment="1">
      <alignment wrapText="1"/>
    </xf>
    <xf numFmtId="0" fontId="0" fillId="192" borderId="0" xfId="0" applyFill="1" applyAlignment="1">
      <alignment wrapText="1"/>
    </xf>
    <xf numFmtId="0" fontId="0" fillId="193" borderId="0" xfId="0" applyFill="1" applyAlignment="1">
      <alignment wrapText="1"/>
    </xf>
    <xf numFmtId="0" fontId="0" fillId="194" borderId="0" xfId="0" applyFill="1" applyAlignment="1">
      <alignment wrapText="1"/>
    </xf>
    <xf numFmtId="0" fontId="0" fillId="195" borderId="0" xfId="0" applyFill="1" applyAlignment="1">
      <alignment wrapText="1"/>
    </xf>
    <xf numFmtId="0" fontId="0" fillId="196" borderId="0" xfId="0" applyFill="1" applyAlignment="1">
      <alignment wrapText="1"/>
    </xf>
    <xf numFmtId="0" fontId="0" fillId="197" borderId="0" xfId="0" applyFill="1" applyAlignment="1">
      <alignment wrapText="1"/>
    </xf>
    <xf numFmtId="0" fontId="0" fillId="198" borderId="0" xfId="0" applyFill="1" applyAlignment="1">
      <alignment wrapText="1"/>
    </xf>
    <xf numFmtId="0" fontId="0" fillId="199" borderId="0" xfId="0" applyFill="1" applyAlignment="1">
      <alignment wrapText="1"/>
    </xf>
    <xf numFmtId="0" fontId="0" fillId="200" borderId="0" xfId="0" applyFill="1" applyAlignment="1">
      <alignment wrapText="1"/>
    </xf>
    <xf numFmtId="0" fontId="0" fillId="201" borderId="0" xfId="0" applyFill="1" applyAlignment="1">
      <alignment wrapText="1"/>
    </xf>
    <xf numFmtId="0" fontId="0" fillId="202" borderId="0" xfId="0" applyFill="1" applyAlignment="1">
      <alignment wrapText="1"/>
    </xf>
    <xf numFmtId="0" fontId="0" fillId="203" borderId="0" xfId="0" applyFill="1" applyAlignment="1">
      <alignment wrapText="1"/>
    </xf>
    <xf numFmtId="0" fontId="0" fillId="204" borderId="0" xfId="0" applyFill="1" applyAlignment="1">
      <alignment wrapText="1"/>
    </xf>
    <xf numFmtId="0" fontId="0" fillId="205" borderId="0" xfId="0" applyFill="1" applyAlignment="1">
      <alignment wrapText="1"/>
    </xf>
    <xf numFmtId="0" fontId="0" fillId="206" borderId="0" xfId="0" applyFill="1" applyAlignment="1">
      <alignment wrapText="1"/>
    </xf>
    <xf numFmtId="0" fontId="0" fillId="207" borderId="0" xfId="0" applyFill="1" applyAlignment="1">
      <alignment wrapText="1"/>
    </xf>
    <xf numFmtId="0" fontId="0" fillId="208" borderId="0" xfId="0" applyFill="1" applyAlignment="1">
      <alignment wrapText="1"/>
    </xf>
    <xf numFmtId="0" fontId="0" fillId="209" borderId="0" xfId="0" applyFill="1" applyAlignment="1">
      <alignment wrapText="1"/>
    </xf>
    <xf numFmtId="0" fontId="0" fillId="210" borderId="0" xfId="0" applyFill="1" applyAlignment="1">
      <alignment wrapText="1"/>
    </xf>
    <xf numFmtId="0" fontId="0" fillId="211" borderId="0" xfId="0" applyFill="1" applyAlignment="1">
      <alignment wrapText="1"/>
    </xf>
    <xf numFmtId="0" fontId="0" fillId="212" borderId="0" xfId="0" applyFill="1" applyAlignment="1">
      <alignment wrapText="1"/>
    </xf>
    <xf numFmtId="0" fontId="0" fillId="213" borderId="0" xfId="0" applyFill="1" applyAlignment="1">
      <alignment wrapText="1"/>
    </xf>
    <xf numFmtId="0" fontId="0" fillId="214" borderId="0" xfId="0" applyFill="1" applyAlignment="1">
      <alignment wrapText="1"/>
    </xf>
    <xf numFmtId="0" fontId="0" fillId="215" borderId="0" xfId="0" applyFill="1" applyAlignment="1">
      <alignment wrapText="1"/>
    </xf>
    <xf numFmtId="0" fontId="0" fillId="216" borderId="0" xfId="0" applyFill="1" applyAlignment="1">
      <alignment wrapText="1"/>
    </xf>
    <xf numFmtId="0" fontId="0" fillId="217" borderId="0" xfId="0" applyFill="1" applyAlignment="1">
      <alignment wrapText="1"/>
    </xf>
    <xf numFmtId="0" fontId="0" fillId="218" borderId="0" xfId="0" applyFill="1" applyAlignment="1">
      <alignment wrapText="1"/>
    </xf>
    <xf numFmtId="0" fontId="0" fillId="219" borderId="0" xfId="0" applyFill="1" applyAlignment="1">
      <alignment wrapText="1"/>
    </xf>
    <xf numFmtId="0" fontId="0" fillId="220" borderId="0" xfId="0" applyFill="1" applyAlignment="1">
      <alignment wrapText="1"/>
    </xf>
    <xf numFmtId="0" fontId="0" fillId="221" borderId="0" xfId="0" applyFill="1" applyAlignment="1">
      <alignment wrapText="1"/>
    </xf>
    <xf numFmtId="0" fontId="0" fillId="222" borderId="0" xfId="0" applyFill="1" applyAlignment="1">
      <alignment wrapText="1"/>
    </xf>
    <xf numFmtId="0" fontId="0" fillId="223" borderId="0" xfId="0" applyFill="1" applyAlignment="1">
      <alignment wrapText="1"/>
    </xf>
    <xf numFmtId="0" fontId="0" fillId="224" borderId="0" xfId="0" applyFill="1" applyAlignment="1">
      <alignment wrapText="1"/>
    </xf>
    <xf numFmtId="0" fontId="0" fillId="225" borderId="0" xfId="0" applyFill="1" applyAlignment="1">
      <alignment wrapText="1"/>
    </xf>
    <xf numFmtId="0" fontId="0" fillId="226" borderId="0" xfId="0" applyFill="1" applyAlignment="1">
      <alignment wrapText="1"/>
    </xf>
    <xf numFmtId="0" fontId="0" fillId="227" borderId="0" xfId="0" applyFill="1" applyAlignment="1">
      <alignment wrapText="1"/>
    </xf>
    <xf numFmtId="0" fontId="0" fillId="228" borderId="0" xfId="0" applyFill="1" applyAlignment="1">
      <alignment wrapText="1"/>
    </xf>
    <xf numFmtId="0" fontId="0" fillId="229" borderId="0" xfId="0" applyFill="1" applyAlignment="1">
      <alignment wrapText="1"/>
    </xf>
    <xf numFmtId="0" fontId="0" fillId="230" borderId="0" xfId="0" applyFill="1" applyAlignment="1">
      <alignment wrapText="1"/>
    </xf>
    <xf numFmtId="0" fontId="0" fillId="231" borderId="0" xfId="0" applyFill="1" applyAlignment="1">
      <alignment wrapText="1"/>
    </xf>
    <xf numFmtId="0" fontId="0" fillId="232" borderId="0" xfId="0" applyFill="1" applyAlignment="1">
      <alignment wrapText="1"/>
    </xf>
    <xf numFmtId="0" fontId="0" fillId="233" borderId="0" xfId="0" applyFill="1" applyAlignment="1">
      <alignment wrapText="1"/>
    </xf>
    <xf numFmtId="0" fontId="0" fillId="234" borderId="0" xfId="0" applyFill="1" applyAlignment="1">
      <alignment wrapText="1"/>
    </xf>
    <xf numFmtId="0" fontId="0" fillId="235" borderId="0" xfId="0" applyFill="1" applyAlignment="1">
      <alignment wrapText="1"/>
    </xf>
    <xf numFmtId="0" fontId="0" fillId="236" borderId="0" xfId="0" applyFill="1" applyAlignment="1">
      <alignment wrapText="1"/>
    </xf>
    <xf numFmtId="0" fontId="0" fillId="237" borderId="0" xfId="0" applyFill="1" applyAlignment="1">
      <alignment wrapText="1"/>
    </xf>
    <xf numFmtId="0" fontId="0" fillId="238" borderId="0" xfId="0" applyFill="1" applyAlignment="1">
      <alignment wrapText="1"/>
    </xf>
    <xf numFmtId="0" fontId="0" fillId="239" borderId="0" xfId="0" applyFill="1" applyAlignment="1">
      <alignment wrapText="1"/>
    </xf>
    <xf numFmtId="0" fontId="0" fillId="240" borderId="0" xfId="0" applyFill="1" applyAlignment="1">
      <alignment wrapText="1"/>
    </xf>
    <xf numFmtId="0" fontId="0" fillId="241" borderId="0" xfId="0" applyFill="1" applyAlignment="1">
      <alignment wrapText="1"/>
    </xf>
    <xf numFmtId="0" fontId="0" fillId="242" borderId="0" xfId="0" applyFill="1" applyAlignment="1">
      <alignment wrapText="1"/>
    </xf>
    <xf numFmtId="0" fontId="0" fillId="243" borderId="0" xfId="0" applyFill="1" applyAlignment="1">
      <alignment wrapText="1"/>
    </xf>
    <xf numFmtId="0" fontId="0" fillId="244" borderId="0" xfId="0" applyFill="1" applyAlignment="1">
      <alignment wrapText="1"/>
    </xf>
    <xf numFmtId="0" fontId="0" fillId="245" borderId="0" xfId="0" applyFill="1" applyAlignment="1">
      <alignment wrapText="1"/>
    </xf>
    <xf numFmtId="0" fontId="0" fillId="246" borderId="0" xfId="0" applyFill="1" applyAlignment="1">
      <alignment wrapText="1"/>
    </xf>
    <xf numFmtId="0" fontId="0" fillId="247" borderId="0" xfId="0" applyFill="1" applyAlignment="1">
      <alignment wrapText="1"/>
    </xf>
    <xf numFmtId="0" fontId="0" fillId="248" borderId="0" xfId="0" applyFill="1" applyAlignment="1">
      <alignment wrapText="1"/>
    </xf>
    <xf numFmtId="0" fontId="0" fillId="249" borderId="0" xfId="0" applyFill="1" applyAlignment="1">
      <alignment wrapText="1"/>
    </xf>
    <xf numFmtId="0" fontId="0" fillId="250" borderId="0" xfId="0" applyFill="1" applyAlignment="1">
      <alignment wrapText="1"/>
    </xf>
    <xf numFmtId="0" fontId="0" fillId="251" borderId="0" xfId="0" applyFill="1" applyAlignment="1">
      <alignment wrapText="1"/>
    </xf>
    <xf numFmtId="0" fontId="0" fillId="252" borderId="0" xfId="0" applyFill="1" applyAlignment="1">
      <alignment wrapText="1"/>
    </xf>
    <xf numFmtId="0" fontId="0" fillId="253" borderId="0" xfId="0" applyFill="1" applyAlignment="1">
      <alignment wrapText="1"/>
    </xf>
    <xf numFmtId="0" fontId="0" fillId="254" borderId="0" xfId="0" applyFill="1" applyAlignment="1">
      <alignment wrapText="1"/>
    </xf>
    <xf numFmtId="0" fontId="0" fillId="255" borderId="0" xfId="0" applyFill="1" applyAlignment="1">
      <alignment wrapText="1"/>
    </xf>
    <xf numFmtId="0" fontId="0" fillId="256" borderId="0" xfId="0" applyFill="1" applyAlignment="1">
      <alignment wrapText="1"/>
    </xf>
    <xf numFmtId="0" fontId="0" fillId="257" borderId="0" xfId="0" applyFill="1" applyAlignment="1">
      <alignment wrapText="1"/>
    </xf>
    <xf numFmtId="0" fontId="0" fillId="258" borderId="0" xfId="0" applyFill="1" applyAlignment="1">
      <alignment wrapText="1"/>
    </xf>
    <xf numFmtId="0" fontId="0" fillId="259" borderId="0" xfId="0" applyFill="1" applyAlignment="1">
      <alignment wrapText="1"/>
    </xf>
    <xf numFmtId="0" fontId="0" fillId="260" borderId="0" xfId="0" applyFill="1" applyAlignment="1">
      <alignment wrapText="1"/>
    </xf>
    <xf numFmtId="0" fontId="0" fillId="261" borderId="0" xfId="0" applyFill="1" applyAlignment="1">
      <alignment wrapText="1"/>
    </xf>
    <xf numFmtId="0" fontId="0" fillId="262" borderId="0" xfId="0" applyFill="1" applyAlignment="1">
      <alignment wrapText="1"/>
    </xf>
    <xf numFmtId="0" fontId="0" fillId="263" borderId="0" xfId="0" applyFill="1" applyAlignment="1">
      <alignment wrapText="1"/>
    </xf>
    <xf numFmtId="0" fontId="0" fillId="264" borderId="0" xfId="0" applyFill="1" applyAlignment="1">
      <alignment wrapText="1"/>
    </xf>
    <xf numFmtId="0" fontId="0" fillId="265" borderId="0" xfId="0" applyFill="1" applyAlignment="1">
      <alignment wrapText="1"/>
    </xf>
    <xf numFmtId="0" fontId="0" fillId="266" borderId="0" xfId="0" applyFill="1" applyAlignment="1">
      <alignment wrapText="1"/>
    </xf>
    <xf numFmtId="0" fontId="0" fillId="267" borderId="0" xfId="0" applyFill="1" applyAlignment="1">
      <alignment wrapText="1"/>
    </xf>
    <xf numFmtId="0" fontId="0" fillId="268" borderId="0" xfId="0" applyFill="1" applyAlignment="1">
      <alignment wrapText="1"/>
    </xf>
    <xf numFmtId="0" fontId="0" fillId="269" borderId="0" xfId="0" applyFill="1" applyAlignment="1">
      <alignment wrapText="1"/>
    </xf>
    <xf numFmtId="0" fontId="0" fillId="270" borderId="0" xfId="0" applyFill="1" applyAlignment="1">
      <alignment wrapText="1"/>
    </xf>
    <xf numFmtId="0" fontId="0" fillId="271" borderId="0" xfId="0" applyFill="1" applyAlignment="1">
      <alignment wrapText="1"/>
    </xf>
    <xf numFmtId="0" fontId="0" fillId="272" borderId="0" xfId="0" applyFill="1" applyAlignment="1">
      <alignment wrapText="1"/>
    </xf>
    <xf numFmtId="0" fontId="0" fillId="273" borderId="0" xfId="0" applyFill="1" applyAlignment="1">
      <alignment wrapText="1"/>
    </xf>
    <xf numFmtId="0" fontId="0" fillId="274" borderId="0" xfId="0" applyFill="1" applyAlignment="1">
      <alignment wrapText="1"/>
    </xf>
    <xf numFmtId="0" fontId="0" fillId="275" borderId="0" xfId="0" applyFill="1" applyAlignment="1">
      <alignment wrapText="1"/>
    </xf>
    <xf numFmtId="0" fontId="0" fillId="276" borderId="0" xfId="0" applyFill="1" applyAlignment="1">
      <alignment wrapText="1"/>
    </xf>
    <xf numFmtId="0" fontId="0" fillId="277" borderId="0" xfId="0" applyFill="1" applyAlignment="1">
      <alignment wrapText="1"/>
    </xf>
    <xf numFmtId="0" fontId="0" fillId="278" borderId="0" xfId="0" applyFill="1" applyAlignment="1">
      <alignment wrapText="1"/>
    </xf>
    <xf numFmtId="0" fontId="0" fillId="279" borderId="0" xfId="0" applyFill="1" applyAlignment="1">
      <alignment wrapText="1"/>
    </xf>
    <xf numFmtId="0" fontId="0" fillId="280" borderId="0" xfId="0" applyFill="1" applyAlignment="1">
      <alignment wrapText="1"/>
    </xf>
    <xf numFmtId="0" fontId="0" fillId="281" borderId="0" xfId="0" applyFill="1" applyAlignment="1">
      <alignment wrapText="1"/>
    </xf>
    <xf numFmtId="0" fontId="0" fillId="282" borderId="0" xfId="0" applyFill="1" applyAlignment="1">
      <alignment wrapText="1"/>
    </xf>
    <xf numFmtId="0" fontId="0" fillId="283" borderId="0" xfId="0" applyFill="1" applyAlignment="1">
      <alignment wrapText="1"/>
    </xf>
    <xf numFmtId="0" fontId="0" fillId="284" borderId="0" xfId="0" applyFill="1" applyAlignment="1">
      <alignment wrapText="1"/>
    </xf>
    <xf numFmtId="0" fontId="0" fillId="285" borderId="0" xfId="0" applyFill="1" applyAlignment="1">
      <alignment wrapText="1"/>
    </xf>
    <xf numFmtId="0" fontId="0" fillId="286" borderId="0" xfId="0" applyFill="1" applyAlignment="1">
      <alignment wrapText="1"/>
    </xf>
    <xf numFmtId="0" fontId="0" fillId="287" borderId="0" xfId="0" applyFill="1" applyAlignment="1">
      <alignment wrapText="1"/>
    </xf>
    <xf numFmtId="0" fontId="0" fillId="288" borderId="0" xfId="0" applyFill="1" applyAlignment="1">
      <alignment wrapText="1"/>
    </xf>
    <xf numFmtId="0" fontId="0" fillId="289" borderId="0" xfId="0" applyFill="1" applyAlignment="1">
      <alignment wrapText="1"/>
    </xf>
    <xf numFmtId="0" fontId="0" fillId="290" borderId="0" xfId="0" applyFill="1" applyAlignment="1">
      <alignment wrapText="1"/>
    </xf>
    <xf numFmtId="0" fontId="0" fillId="291" borderId="0" xfId="0" applyFill="1" applyAlignment="1">
      <alignment wrapText="1"/>
    </xf>
    <xf numFmtId="0" fontId="0" fillId="292" borderId="0" xfId="0" applyFill="1" applyAlignment="1">
      <alignment wrapText="1"/>
    </xf>
    <xf numFmtId="0" fontId="0" fillId="293" borderId="0" xfId="0" applyFill="1" applyAlignment="1">
      <alignment wrapText="1"/>
    </xf>
    <xf numFmtId="0" fontId="0" fillId="294" borderId="0" xfId="0" applyFill="1" applyAlignment="1">
      <alignment wrapText="1"/>
    </xf>
    <xf numFmtId="0" fontId="0" fillId="295" borderId="0" xfId="0" applyFill="1" applyAlignment="1">
      <alignment wrapText="1"/>
    </xf>
    <xf numFmtId="0" fontId="0" fillId="296" borderId="0" xfId="0" applyFill="1" applyAlignment="1">
      <alignment wrapText="1"/>
    </xf>
    <xf numFmtId="0" fontId="0" fillId="297" borderId="0" xfId="0" applyFill="1" applyAlignment="1">
      <alignment wrapText="1"/>
    </xf>
    <xf numFmtId="0" fontId="0" fillId="298" borderId="0" xfId="0" applyFill="1" applyAlignment="1">
      <alignment wrapText="1"/>
    </xf>
    <xf numFmtId="0" fontId="0" fillId="299" borderId="0" xfId="0" applyFill="1" applyAlignment="1">
      <alignment wrapText="1"/>
    </xf>
    <xf numFmtId="0" fontId="0" fillId="300" borderId="0" xfId="0" applyFill="1" applyAlignment="1">
      <alignment wrapText="1"/>
    </xf>
    <xf numFmtId="0" fontId="0" fillId="301" borderId="0" xfId="0" applyFill="1" applyAlignment="1">
      <alignment wrapText="1"/>
    </xf>
    <xf numFmtId="0" fontId="0" fillId="302" borderId="0" xfId="0" applyFill="1" applyAlignment="1">
      <alignment wrapText="1"/>
    </xf>
    <xf numFmtId="0" fontId="0" fillId="303" borderId="0" xfId="0" applyFill="1" applyAlignment="1">
      <alignment wrapText="1"/>
    </xf>
    <xf numFmtId="0" fontId="0" fillId="304" borderId="0" xfId="0" applyFill="1" applyAlignment="1">
      <alignment wrapText="1"/>
    </xf>
    <xf numFmtId="0" fontId="0" fillId="305" borderId="0" xfId="0" applyFill="1" applyAlignment="1">
      <alignment wrapText="1"/>
    </xf>
    <xf numFmtId="0" fontId="0" fillId="306" borderId="0" xfId="0" applyFill="1" applyAlignment="1">
      <alignment wrapText="1"/>
    </xf>
    <xf numFmtId="0" fontId="0" fillId="307" borderId="0" xfId="0" applyFill="1" applyAlignment="1">
      <alignment wrapText="1"/>
    </xf>
    <xf numFmtId="0" fontId="0" fillId="308" borderId="0" xfId="0" applyFill="1" applyAlignment="1">
      <alignment wrapText="1"/>
    </xf>
    <xf numFmtId="0" fontId="0" fillId="309" borderId="0" xfId="0" applyFill="1" applyAlignment="1">
      <alignment wrapText="1"/>
    </xf>
    <xf numFmtId="0" fontId="0" fillId="310" borderId="0" xfId="0" applyFill="1" applyAlignment="1">
      <alignment wrapText="1"/>
    </xf>
    <xf numFmtId="0" fontId="0" fillId="311" borderId="0" xfId="0" applyFill="1" applyAlignment="1">
      <alignment wrapText="1"/>
    </xf>
    <xf numFmtId="0" fontId="0" fillId="312" borderId="0" xfId="0" applyFill="1" applyAlignment="1">
      <alignment wrapText="1"/>
    </xf>
    <xf numFmtId="0" fontId="0" fillId="313" borderId="0" xfId="0" applyFill="1" applyAlignment="1">
      <alignment wrapText="1"/>
    </xf>
    <xf numFmtId="0" fontId="0" fillId="314" borderId="0" xfId="0" applyFill="1" applyAlignment="1">
      <alignment wrapText="1"/>
    </xf>
    <xf numFmtId="0" fontId="0" fillId="315" borderId="0" xfId="0" applyFill="1" applyAlignment="1">
      <alignment wrapText="1"/>
    </xf>
    <xf numFmtId="0" fontId="0" fillId="316" borderId="0" xfId="0" applyFill="1" applyAlignment="1">
      <alignment wrapText="1"/>
    </xf>
    <xf numFmtId="0" fontId="0" fillId="317" borderId="0" xfId="0" applyFill="1" applyAlignment="1">
      <alignment wrapText="1"/>
    </xf>
    <xf numFmtId="0" fontId="0" fillId="318" borderId="0" xfId="0" applyFill="1" applyAlignment="1">
      <alignment wrapText="1"/>
    </xf>
    <xf numFmtId="0" fontId="0" fillId="319" borderId="0" xfId="0" applyFill="1" applyAlignment="1">
      <alignment wrapText="1"/>
    </xf>
    <xf numFmtId="0" fontId="0" fillId="320" borderId="0" xfId="0" applyFill="1" applyAlignment="1">
      <alignment wrapText="1"/>
    </xf>
    <xf numFmtId="0" fontId="0" fillId="321" borderId="0" xfId="0" applyFill="1" applyAlignment="1">
      <alignment wrapText="1"/>
    </xf>
    <xf numFmtId="0" fontId="0" fillId="322" borderId="0" xfId="0" applyFill="1" applyAlignment="1">
      <alignment wrapText="1"/>
    </xf>
    <xf numFmtId="0" fontId="0" fillId="323" borderId="0" xfId="0" applyFill="1" applyAlignment="1">
      <alignment wrapText="1"/>
    </xf>
    <xf numFmtId="0" fontId="0" fillId="324" borderId="0" xfId="0" applyFill="1" applyAlignment="1">
      <alignment wrapText="1"/>
    </xf>
    <xf numFmtId="0" fontId="0" fillId="325" borderId="0" xfId="0" applyFill="1" applyAlignment="1">
      <alignment wrapText="1"/>
    </xf>
    <xf numFmtId="0" fontId="0" fillId="326" borderId="0" xfId="0" applyFill="1" applyAlignment="1">
      <alignment wrapText="1"/>
    </xf>
    <xf numFmtId="0" fontId="0" fillId="327" borderId="0" xfId="0" applyFill="1" applyAlignment="1">
      <alignment wrapText="1"/>
    </xf>
    <xf numFmtId="0" fontId="0" fillId="328" borderId="0" xfId="0" applyFill="1" applyAlignment="1">
      <alignment wrapText="1"/>
    </xf>
    <xf numFmtId="0" fontId="0" fillId="329" borderId="0" xfId="0" applyFill="1" applyAlignment="1">
      <alignment wrapText="1"/>
    </xf>
    <xf numFmtId="0" fontId="0" fillId="330" borderId="0" xfId="0" applyFill="1" applyAlignment="1">
      <alignment wrapText="1"/>
    </xf>
    <xf numFmtId="0" fontId="0" fillId="331" borderId="0" xfId="0" applyFill="1" applyAlignment="1">
      <alignment wrapText="1"/>
    </xf>
    <xf numFmtId="0" fontId="0" fillId="332" borderId="0" xfId="0" applyFill="1" applyAlignment="1">
      <alignment wrapText="1"/>
    </xf>
    <xf numFmtId="0" fontId="0" fillId="333" borderId="0" xfId="0" applyFill="1" applyAlignment="1">
      <alignment wrapText="1"/>
    </xf>
    <xf numFmtId="0" fontId="0" fillId="334" borderId="0" xfId="0" applyFill="1" applyAlignment="1">
      <alignment wrapText="1"/>
    </xf>
    <xf numFmtId="0" fontId="0" fillId="335" borderId="0" xfId="0" applyFill="1" applyAlignment="1">
      <alignment wrapText="1"/>
    </xf>
    <xf numFmtId="0" fontId="0" fillId="336" borderId="0" xfId="0" applyFill="1" applyAlignment="1">
      <alignment wrapText="1"/>
    </xf>
    <xf numFmtId="0" fontId="0" fillId="337" borderId="0" xfId="0" applyFill="1" applyAlignment="1">
      <alignment wrapText="1"/>
    </xf>
    <xf numFmtId="0" fontId="0" fillId="338" borderId="0" xfId="0" applyFill="1" applyAlignment="1">
      <alignment wrapText="1"/>
    </xf>
    <xf numFmtId="0" fontId="0" fillId="339" borderId="0" xfId="0" applyFill="1" applyAlignment="1">
      <alignment wrapText="1"/>
    </xf>
    <xf numFmtId="0" fontId="0" fillId="340" borderId="0" xfId="0" applyFill="1" applyAlignment="1">
      <alignment wrapText="1"/>
    </xf>
    <xf numFmtId="0" fontId="0" fillId="341" borderId="0" xfId="0" applyFill="1" applyAlignment="1">
      <alignment wrapText="1"/>
    </xf>
    <xf numFmtId="0" fontId="0" fillId="342" borderId="0" xfId="0" applyFill="1" applyAlignment="1">
      <alignment wrapText="1"/>
    </xf>
    <xf numFmtId="0" fontId="0" fillId="343" borderId="0" xfId="0" applyFill="1" applyAlignment="1">
      <alignment wrapText="1"/>
    </xf>
    <xf numFmtId="0" fontId="0" fillId="344" borderId="0" xfId="0" applyFill="1" applyAlignment="1">
      <alignment wrapText="1"/>
    </xf>
    <xf numFmtId="0" fontId="0" fillId="345" borderId="0" xfId="0" applyFill="1" applyAlignment="1">
      <alignment wrapText="1"/>
    </xf>
    <xf numFmtId="0" fontId="0" fillId="346" borderId="0" xfId="0" applyFill="1" applyAlignment="1">
      <alignment wrapText="1"/>
    </xf>
    <xf numFmtId="0" fontId="0" fillId="347" borderId="0" xfId="0" applyFill="1" applyAlignment="1">
      <alignment wrapText="1"/>
    </xf>
    <xf numFmtId="0" fontId="0" fillId="348" borderId="0" xfId="0" applyFill="1" applyAlignment="1">
      <alignment wrapText="1"/>
    </xf>
    <xf numFmtId="0" fontId="0" fillId="349" borderId="0" xfId="0" applyFill="1" applyAlignment="1">
      <alignment wrapText="1"/>
    </xf>
    <xf numFmtId="0" fontId="0" fillId="350" borderId="0" xfId="0" applyFill="1" applyAlignment="1">
      <alignment wrapText="1"/>
    </xf>
    <xf numFmtId="0" fontId="0" fillId="351" borderId="0" xfId="0" applyFill="1" applyAlignment="1">
      <alignment wrapText="1"/>
    </xf>
    <xf numFmtId="0" fontId="0" fillId="352" borderId="0" xfId="0" applyFill="1" applyAlignment="1">
      <alignment wrapText="1"/>
    </xf>
    <xf numFmtId="0" fontId="0" fillId="353" borderId="0" xfId="0" applyFill="1" applyAlignment="1">
      <alignment wrapText="1"/>
    </xf>
    <xf numFmtId="0" fontId="0" fillId="354" borderId="0" xfId="0" applyFill="1" applyAlignment="1">
      <alignment wrapText="1"/>
    </xf>
    <xf numFmtId="0" fontId="0" fillId="355" borderId="0" xfId="0" applyFill="1" applyAlignment="1">
      <alignment wrapText="1"/>
    </xf>
    <xf numFmtId="0" fontId="0" fillId="356" borderId="0" xfId="0" applyFill="1" applyAlignment="1">
      <alignment wrapText="1"/>
    </xf>
    <xf numFmtId="0" fontId="0" fillId="357" borderId="0" xfId="0" applyFill="1" applyAlignment="1">
      <alignment wrapText="1"/>
    </xf>
    <xf numFmtId="0" fontId="0" fillId="358" borderId="0" xfId="0" applyFill="1" applyAlignment="1">
      <alignment wrapText="1"/>
    </xf>
    <xf numFmtId="0" fontId="0" fillId="359" borderId="0" xfId="0" applyFill="1" applyAlignment="1">
      <alignment wrapText="1"/>
    </xf>
    <xf numFmtId="0" fontId="0" fillId="360" borderId="0" xfId="0" applyFill="1" applyAlignment="1">
      <alignment wrapText="1"/>
    </xf>
    <xf numFmtId="0" fontId="0" fillId="361" borderId="0" xfId="0" applyFill="1" applyAlignment="1">
      <alignment wrapText="1"/>
    </xf>
    <xf numFmtId="0" fontId="0" fillId="362" borderId="0" xfId="0" applyFill="1" applyAlignment="1">
      <alignment wrapText="1"/>
    </xf>
    <xf numFmtId="0" fontId="0" fillId="363" borderId="0" xfId="0" applyFill="1" applyAlignment="1">
      <alignment wrapText="1"/>
    </xf>
    <xf numFmtId="0" fontId="0" fillId="364" borderId="0" xfId="0" applyFill="1" applyAlignment="1">
      <alignment wrapText="1"/>
    </xf>
    <xf numFmtId="0" fontId="0" fillId="365" borderId="0" xfId="0" applyFill="1" applyAlignment="1">
      <alignment wrapText="1"/>
    </xf>
    <xf numFmtId="0" fontId="0" fillId="366" borderId="0" xfId="0" applyFill="1" applyAlignment="1">
      <alignment wrapText="1"/>
    </xf>
    <xf numFmtId="0" fontId="0" fillId="367" borderId="0" xfId="0" applyFill="1" applyAlignment="1">
      <alignment wrapText="1"/>
    </xf>
    <xf numFmtId="0" fontId="0" fillId="368" borderId="0" xfId="0" applyFill="1" applyAlignment="1">
      <alignment wrapText="1"/>
    </xf>
    <xf numFmtId="0" fontId="0" fillId="369" borderId="0" xfId="0" applyFill="1" applyAlignment="1">
      <alignment wrapText="1"/>
    </xf>
    <xf numFmtId="0" fontId="0" fillId="370" borderId="0" xfId="0" applyFill="1" applyAlignment="1">
      <alignment wrapText="1"/>
    </xf>
    <xf numFmtId="0" fontId="0" fillId="371" borderId="0" xfId="0" applyFill="1" applyAlignment="1">
      <alignment wrapText="1"/>
    </xf>
    <xf numFmtId="0" fontId="0" fillId="372" borderId="0" xfId="0" applyFill="1" applyAlignment="1">
      <alignment wrapText="1"/>
    </xf>
    <xf numFmtId="0" fontId="0" fillId="373" borderId="0" xfId="0" applyFill="1" applyAlignment="1">
      <alignment wrapText="1"/>
    </xf>
    <xf numFmtId="0" fontId="0" fillId="374" borderId="0" xfId="0" applyFill="1" applyAlignment="1">
      <alignment wrapText="1"/>
    </xf>
    <xf numFmtId="0" fontId="0" fillId="375" borderId="0" xfId="0" applyFill="1" applyAlignment="1">
      <alignment wrapText="1"/>
    </xf>
    <xf numFmtId="0" fontId="0" fillId="376" borderId="0" xfId="0" applyFill="1" applyAlignment="1">
      <alignment wrapText="1"/>
    </xf>
    <xf numFmtId="0" fontId="0" fillId="377" borderId="0" xfId="0" applyFill="1" applyAlignment="1">
      <alignment wrapText="1"/>
    </xf>
    <xf numFmtId="0" fontId="0" fillId="378" borderId="0" xfId="0" applyFill="1" applyAlignment="1">
      <alignment wrapText="1"/>
    </xf>
    <xf numFmtId="0" fontId="0" fillId="379" borderId="0" xfId="0" applyFill="1" applyAlignment="1">
      <alignment wrapText="1"/>
    </xf>
    <xf numFmtId="0" fontId="0" fillId="380" borderId="0" xfId="0" applyFill="1" applyAlignment="1">
      <alignment wrapText="1"/>
    </xf>
    <xf numFmtId="0" fontId="0" fillId="381" borderId="0" xfId="0" applyFill="1" applyAlignment="1">
      <alignment wrapText="1"/>
    </xf>
    <xf numFmtId="0" fontId="0" fillId="382" borderId="0" xfId="0" applyFill="1" applyAlignment="1">
      <alignment wrapText="1"/>
    </xf>
    <xf numFmtId="0" fontId="0" fillId="383" borderId="0" xfId="0" applyFill="1" applyAlignment="1">
      <alignment wrapText="1"/>
    </xf>
    <xf numFmtId="0" fontId="0" fillId="384" borderId="0" xfId="0" applyFill="1" applyAlignment="1">
      <alignment wrapText="1"/>
    </xf>
    <xf numFmtId="0" fontId="0" fillId="385" borderId="0" xfId="0" applyFill="1" applyAlignment="1">
      <alignment wrapText="1"/>
    </xf>
    <xf numFmtId="0" fontId="0" fillId="386" borderId="0" xfId="0" applyFill="1" applyAlignment="1">
      <alignment wrapText="1"/>
    </xf>
    <xf numFmtId="0" fontId="0" fillId="387" borderId="0" xfId="0" applyFill="1" applyAlignment="1">
      <alignment wrapText="1"/>
    </xf>
    <xf numFmtId="0" fontId="0" fillId="388" borderId="0" xfId="0" applyFill="1" applyAlignment="1">
      <alignment wrapText="1"/>
    </xf>
    <xf numFmtId="0" fontId="0" fillId="389" borderId="0" xfId="0" applyFill="1" applyAlignment="1">
      <alignment wrapText="1"/>
    </xf>
    <xf numFmtId="0" fontId="0" fillId="390" borderId="0" xfId="0" applyFill="1" applyAlignment="1">
      <alignment wrapText="1"/>
    </xf>
    <xf numFmtId="0" fontId="0" fillId="391" borderId="0" xfId="0" applyFill="1" applyAlignment="1">
      <alignment wrapText="1"/>
    </xf>
    <xf numFmtId="0" fontId="0" fillId="392" borderId="0" xfId="0" applyFill="1" applyAlignment="1">
      <alignment wrapText="1"/>
    </xf>
    <xf numFmtId="0" fontId="0" fillId="393" borderId="0" xfId="0" applyFill="1" applyAlignment="1">
      <alignment wrapText="1"/>
    </xf>
    <xf numFmtId="0" fontId="0" fillId="394" borderId="0" xfId="0" applyFill="1" applyAlignment="1">
      <alignment wrapText="1"/>
    </xf>
    <xf numFmtId="0" fontId="0" fillId="395" borderId="0" xfId="0" applyFill="1" applyAlignment="1">
      <alignment wrapText="1"/>
    </xf>
    <xf numFmtId="0" fontId="0" fillId="396" borderId="0" xfId="0" applyFill="1" applyAlignment="1">
      <alignment wrapText="1"/>
    </xf>
    <xf numFmtId="0" fontId="0" fillId="397" borderId="0" xfId="0" applyFill="1" applyAlignment="1">
      <alignment wrapText="1"/>
    </xf>
    <xf numFmtId="0" fontId="0" fillId="398" borderId="0" xfId="0" applyFill="1" applyAlignment="1">
      <alignment wrapText="1"/>
    </xf>
    <xf numFmtId="0" fontId="0" fillId="399" borderId="0" xfId="0" applyFill="1" applyAlignment="1">
      <alignment wrapText="1"/>
    </xf>
    <xf numFmtId="0" fontId="0" fillId="400" borderId="0" xfId="0" applyFill="1" applyAlignment="1">
      <alignment wrapText="1"/>
    </xf>
    <xf numFmtId="0" fontId="0" fillId="401" borderId="0" xfId="0" applyFill="1" applyAlignment="1">
      <alignment wrapText="1"/>
    </xf>
    <xf numFmtId="0" fontId="0" fillId="402" borderId="0" xfId="0" applyFill="1" applyAlignment="1">
      <alignment wrapText="1"/>
    </xf>
    <xf numFmtId="0" fontId="0" fillId="403" borderId="0" xfId="0" applyFill="1" applyAlignment="1">
      <alignment wrapText="1"/>
    </xf>
    <xf numFmtId="0" fontId="0" fillId="404" borderId="0" xfId="0" applyFill="1" applyAlignment="1">
      <alignment wrapText="1"/>
    </xf>
    <xf numFmtId="0" fontId="0" fillId="405" borderId="0" xfId="0" applyFill="1" applyAlignment="1">
      <alignment wrapText="1"/>
    </xf>
    <xf numFmtId="0" fontId="0" fillId="406" borderId="0" xfId="0" applyFill="1" applyAlignment="1">
      <alignment wrapText="1"/>
    </xf>
    <xf numFmtId="0" fontId="0" fillId="407" borderId="0" xfId="0" applyFill="1" applyAlignment="1">
      <alignment wrapText="1"/>
    </xf>
    <xf numFmtId="0" fontId="0" fillId="408" borderId="0" xfId="0" applyFill="1" applyAlignment="1">
      <alignment wrapText="1"/>
    </xf>
    <xf numFmtId="0" fontId="0" fillId="409" borderId="0" xfId="0" applyFill="1" applyAlignment="1">
      <alignment wrapText="1"/>
    </xf>
    <xf numFmtId="0" fontId="0" fillId="410" borderId="0" xfId="0" applyFill="1" applyAlignment="1">
      <alignment wrapText="1"/>
    </xf>
    <xf numFmtId="0" fontId="0" fillId="411" borderId="0" xfId="0" applyFill="1" applyAlignment="1">
      <alignment wrapText="1"/>
    </xf>
    <xf numFmtId="0" fontId="0" fillId="412" borderId="0" xfId="0" applyFill="1" applyAlignment="1">
      <alignment wrapText="1"/>
    </xf>
    <xf numFmtId="0" fontId="0" fillId="413" borderId="0" xfId="0" applyFill="1" applyAlignment="1">
      <alignment wrapText="1"/>
    </xf>
    <xf numFmtId="0" fontId="0" fillId="414" borderId="0" xfId="0" applyFill="1" applyAlignment="1">
      <alignment wrapText="1"/>
    </xf>
    <xf numFmtId="0" fontId="0" fillId="415" borderId="0" xfId="0" applyFill="1" applyAlignment="1">
      <alignment wrapText="1"/>
    </xf>
    <xf numFmtId="0" fontId="0" fillId="416" borderId="0" xfId="0" applyFill="1" applyAlignment="1">
      <alignment wrapText="1"/>
    </xf>
    <xf numFmtId="0" fontId="0" fillId="417" borderId="0" xfId="0" applyFill="1" applyAlignment="1">
      <alignment wrapText="1"/>
    </xf>
    <xf numFmtId="0" fontId="0" fillId="418" borderId="0" xfId="0" applyFill="1" applyAlignment="1">
      <alignment wrapText="1"/>
    </xf>
    <xf numFmtId="0" fontId="0" fillId="419" borderId="0" xfId="0" applyFill="1" applyAlignment="1">
      <alignment wrapText="1"/>
    </xf>
    <xf numFmtId="0" fontId="0" fillId="420" borderId="0" xfId="0" applyFill="1" applyAlignment="1">
      <alignment wrapText="1"/>
    </xf>
    <xf numFmtId="0" fontId="0" fillId="421" borderId="0" xfId="0" applyFill="1" applyAlignment="1">
      <alignment wrapText="1"/>
    </xf>
    <xf numFmtId="0" fontId="0" fillId="422" borderId="0" xfId="0" applyFill="1" applyAlignment="1">
      <alignment wrapText="1"/>
    </xf>
    <xf numFmtId="0" fontId="0" fillId="423" borderId="0" xfId="0" applyFill="1" applyAlignment="1">
      <alignment wrapText="1"/>
    </xf>
    <xf numFmtId="0" fontId="0" fillId="424" borderId="0" xfId="0" applyFill="1" applyAlignment="1">
      <alignment wrapText="1"/>
    </xf>
    <xf numFmtId="0" fontId="0" fillId="425" borderId="0" xfId="0" applyFill="1" applyAlignment="1">
      <alignment wrapText="1"/>
    </xf>
    <xf numFmtId="0" fontId="0" fillId="426" borderId="0" xfId="0" applyFill="1" applyAlignment="1">
      <alignment wrapText="1"/>
    </xf>
    <xf numFmtId="0" fontId="0" fillId="427" borderId="0" xfId="0" applyFill="1" applyAlignment="1">
      <alignment wrapText="1"/>
    </xf>
    <xf numFmtId="0" fontId="0" fillId="428" borderId="0" xfId="0" applyFill="1" applyAlignment="1">
      <alignment wrapText="1"/>
    </xf>
    <xf numFmtId="0" fontId="0" fillId="429" borderId="0" xfId="0" applyFill="1" applyAlignment="1">
      <alignment wrapText="1"/>
    </xf>
    <xf numFmtId="0" fontId="0" fillId="430" borderId="0" xfId="0" applyFill="1" applyAlignment="1">
      <alignment wrapText="1"/>
    </xf>
    <xf numFmtId="0" fontId="0" fillId="431" borderId="0" xfId="0" applyFill="1" applyAlignment="1">
      <alignment wrapText="1"/>
    </xf>
    <xf numFmtId="0" fontId="0" fillId="432" borderId="0" xfId="0" applyFill="1" applyAlignment="1">
      <alignment wrapText="1"/>
    </xf>
    <xf numFmtId="0" fontId="0" fillId="433" borderId="0" xfId="0" applyFill="1" applyAlignment="1">
      <alignment wrapText="1"/>
    </xf>
    <xf numFmtId="0" fontId="0" fillId="434" borderId="0" xfId="0" applyFill="1" applyAlignment="1">
      <alignment wrapText="1"/>
    </xf>
    <xf numFmtId="0" fontId="0" fillId="435" borderId="0" xfId="0" applyFill="1" applyAlignment="1">
      <alignment wrapText="1"/>
    </xf>
    <xf numFmtId="0" fontId="0" fillId="436" borderId="0" xfId="0" applyFill="1" applyAlignment="1">
      <alignment wrapText="1"/>
    </xf>
    <xf numFmtId="0" fontId="0" fillId="437" borderId="0" xfId="0" applyFill="1" applyAlignment="1">
      <alignment wrapText="1"/>
    </xf>
    <xf numFmtId="0" fontId="0" fillId="438" borderId="0" xfId="0" applyFill="1" applyAlignment="1">
      <alignment wrapText="1"/>
    </xf>
    <xf numFmtId="0" fontId="0" fillId="439" borderId="0" xfId="0" applyFill="1" applyAlignment="1">
      <alignment wrapText="1"/>
    </xf>
    <xf numFmtId="0" fontId="0" fillId="440" borderId="0" xfId="0" applyFill="1" applyAlignment="1">
      <alignment wrapText="1"/>
    </xf>
    <xf numFmtId="0" fontId="0" fillId="441" borderId="0" xfId="0" applyFill="1" applyAlignment="1">
      <alignment wrapText="1"/>
    </xf>
    <xf numFmtId="0" fontId="0" fillId="442" borderId="0" xfId="0" applyFill="1" applyAlignment="1">
      <alignment wrapText="1"/>
    </xf>
    <xf numFmtId="0" fontId="0" fillId="443" borderId="0" xfId="0" applyFill="1" applyAlignment="1">
      <alignment wrapText="1"/>
    </xf>
    <xf numFmtId="0" fontId="0" fillId="444" borderId="0" xfId="0" applyFill="1" applyAlignment="1">
      <alignment wrapText="1"/>
    </xf>
    <xf numFmtId="0" fontId="0" fillId="445" borderId="0" xfId="0" applyFill="1" applyAlignment="1">
      <alignment wrapText="1"/>
    </xf>
    <xf numFmtId="0" fontId="0" fillId="446" borderId="0" xfId="0" applyFill="1" applyAlignment="1">
      <alignment wrapText="1"/>
    </xf>
    <xf numFmtId="0" fontId="0" fillId="447" borderId="0" xfId="0" applyFill="1" applyAlignment="1">
      <alignment wrapText="1"/>
    </xf>
    <xf numFmtId="0" fontId="0" fillId="448" borderId="0" xfId="0" applyFill="1" applyAlignment="1">
      <alignment wrapText="1"/>
    </xf>
    <xf numFmtId="0" fontId="0" fillId="449" borderId="0" xfId="0" applyFill="1" applyAlignment="1">
      <alignment wrapText="1"/>
    </xf>
    <xf numFmtId="0" fontId="0" fillId="450" borderId="0" xfId="0" applyFill="1" applyAlignment="1">
      <alignment wrapText="1"/>
    </xf>
    <xf numFmtId="0" fontId="0" fillId="451" borderId="0" xfId="0" applyFill="1" applyAlignment="1">
      <alignment wrapText="1"/>
    </xf>
    <xf numFmtId="0" fontId="0" fillId="452" borderId="0" xfId="0" applyFill="1" applyAlignment="1">
      <alignment wrapText="1"/>
    </xf>
    <xf numFmtId="0" fontId="0" fillId="453" borderId="0" xfId="0" applyFill="1" applyAlignment="1">
      <alignment wrapText="1"/>
    </xf>
    <xf numFmtId="0" fontId="0" fillId="454" borderId="0" xfId="0" applyFill="1" applyAlignment="1">
      <alignment wrapText="1"/>
    </xf>
    <xf numFmtId="0" fontId="0" fillId="455" borderId="0" xfId="0" applyFill="1" applyAlignment="1">
      <alignment wrapText="1"/>
    </xf>
    <xf numFmtId="0" fontId="0" fillId="456" borderId="0" xfId="0" applyFill="1" applyAlignment="1">
      <alignment wrapText="1"/>
    </xf>
    <xf numFmtId="0" fontId="0" fillId="457" borderId="0" xfId="0" applyFill="1" applyAlignment="1">
      <alignment wrapText="1"/>
    </xf>
    <xf numFmtId="0" fontId="0" fillId="458" borderId="0" xfId="0" applyFill="1" applyAlignment="1">
      <alignment wrapText="1"/>
    </xf>
    <xf numFmtId="0" fontId="0" fillId="459" borderId="0" xfId="0" applyFill="1" applyAlignment="1">
      <alignment wrapText="1"/>
    </xf>
    <xf numFmtId="0" fontId="0" fillId="460" borderId="0" xfId="0" applyFill="1" applyAlignment="1">
      <alignment wrapText="1"/>
    </xf>
    <xf numFmtId="0" fontId="0" fillId="461" borderId="0" xfId="0" applyFill="1" applyAlignment="1">
      <alignment wrapText="1"/>
    </xf>
    <xf numFmtId="0" fontId="0" fillId="462" borderId="0" xfId="0" applyFill="1" applyAlignment="1">
      <alignment wrapText="1"/>
    </xf>
    <xf numFmtId="0" fontId="0" fillId="463" borderId="0" xfId="0" applyFill="1" applyAlignment="1">
      <alignment wrapText="1"/>
    </xf>
    <xf numFmtId="0" fontId="0" fillId="464" borderId="0" xfId="0" applyFill="1" applyAlignment="1">
      <alignment wrapText="1"/>
    </xf>
    <xf numFmtId="0" fontId="0" fillId="465" borderId="0" xfId="0" applyFill="1" applyAlignment="1">
      <alignment wrapText="1"/>
    </xf>
    <xf numFmtId="0" fontId="0" fillId="466" borderId="0" xfId="0" applyFill="1" applyAlignment="1">
      <alignment wrapText="1"/>
    </xf>
    <xf numFmtId="0" fontId="0" fillId="467" borderId="0" xfId="0" applyFill="1" applyAlignment="1">
      <alignment wrapText="1"/>
    </xf>
    <xf numFmtId="0" fontId="0" fillId="468" borderId="0" xfId="0" applyFill="1" applyAlignment="1">
      <alignment wrapText="1"/>
    </xf>
    <xf numFmtId="0" fontId="0" fillId="469" borderId="0" xfId="0" applyFill="1" applyAlignment="1">
      <alignment wrapText="1"/>
    </xf>
    <xf numFmtId="0" fontId="0" fillId="470" borderId="0" xfId="0" applyFill="1" applyAlignment="1">
      <alignment wrapText="1"/>
    </xf>
    <xf numFmtId="0" fontId="0" fillId="471" borderId="0" xfId="0" applyFill="1" applyAlignment="1">
      <alignment wrapText="1"/>
    </xf>
    <xf numFmtId="0" fontId="0" fillId="472" borderId="0" xfId="0" applyFill="1" applyAlignment="1">
      <alignment wrapText="1"/>
    </xf>
    <xf numFmtId="0" fontId="0" fillId="473" borderId="0" xfId="0" applyFill="1" applyAlignment="1">
      <alignment wrapText="1"/>
    </xf>
    <xf numFmtId="0" fontId="0" fillId="474" borderId="0" xfId="0" applyFill="1" applyAlignment="1">
      <alignment wrapText="1"/>
    </xf>
    <xf numFmtId="0" fontId="0" fillId="475" borderId="0" xfId="0" applyFill="1" applyAlignment="1">
      <alignment wrapText="1"/>
    </xf>
    <xf numFmtId="0" fontId="0" fillId="476" borderId="0" xfId="0" applyFill="1" applyAlignment="1">
      <alignment wrapText="1"/>
    </xf>
    <xf numFmtId="0" fontId="0" fillId="477" borderId="0" xfId="0" applyFill="1" applyAlignment="1">
      <alignment wrapText="1"/>
    </xf>
    <xf numFmtId="0" fontId="0" fillId="478" borderId="0" xfId="0" applyFill="1" applyAlignment="1">
      <alignment wrapText="1"/>
    </xf>
    <xf numFmtId="0" fontId="0" fillId="479" borderId="0" xfId="0" applyFill="1" applyAlignment="1">
      <alignment wrapText="1"/>
    </xf>
    <xf numFmtId="0" fontId="0" fillId="480" borderId="0" xfId="0" applyFill="1" applyAlignment="1">
      <alignment wrapText="1"/>
    </xf>
    <xf numFmtId="0" fontId="0" fillId="481" borderId="0" xfId="0" applyFill="1" applyAlignment="1">
      <alignment wrapText="1"/>
    </xf>
    <xf numFmtId="0" fontId="0" fillId="482" borderId="0" xfId="0" applyFill="1" applyAlignment="1">
      <alignment wrapText="1"/>
    </xf>
    <xf numFmtId="0" fontId="0" fillId="483" borderId="0" xfId="0" applyFill="1" applyAlignment="1">
      <alignment wrapText="1"/>
    </xf>
    <xf numFmtId="0" fontId="0" fillId="484" borderId="0" xfId="0" applyFill="1" applyAlignment="1">
      <alignment wrapText="1"/>
    </xf>
    <xf numFmtId="0" fontId="0" fillId="485" borderId="0" xfId="0" applyFill="1" applyAlignment="1">
      <alignment wrapText="1"/>
    </xf>
    <xf numFmtId="0" fontId="0" fillId="486" borderId="0" xfId="0" applyFill="1" applyAlignment="1">
      <alignment wrapText="1"/>
    </xf>
    <xf numFmtId="0" fontId="0" fillId="487" borderId="0" xfId="0" applyFill="1" applyAlignment="1">
      <alignment wrapText="1"/>
    </xf>
    <xf numFmtId="0" fontId="0" fillId="488" borderId="0" xfId="0" applyFill="1" applyAlignment="1">
      <alignment wrapText="1"/>
    </xf>
    <xf numFmtId="0" fontId="0" fillId="489" borderId="0" xfId="0" applyFill="1" applyAlignment="1">
      <alignment wrapText="1"/>
    </xf>
    <xf numFmtId="0" fontId="0" fillId="490" borderId="0" xfId="0" applyFill="1" applyAlignment="1">
      <alignment wrapText="1"/>
    </xf>
    <xf numFmtId="0" fontId="0" fillId="491" borderId="0" xfId="0" applyFill="1" applyAlignment="1">
      <alignment wrapText="1"/>
    </xf>
    <xf numFmtId="0" fontId="0" fillId="492" borderId="0" xfId="0" applyFill="1" applyAlignment="1">
      <alignment wrapText="1"/>
    </xf>
    <xf numFmtId="0" fontId="0" fillId="493" borderId="0" xfId="0" applyFill="1" applyAlignment="1">
      <alignment wrapText="1"/>
    </xf>
    <xf numFmtId="0" fontId="0" fillId="494" borderId="0" xfId="0" applyFill="1" applyAlignment="1">
      <alignment wrapText="1"/>
    </xf>
    <xf numFmtId="0" fontId="0" fillId="495" borderId="0" xfId="0" applyFill="1" applyAlignment="1">
      <alignment wrapText="1"/>
    </xf>
    <xf numFmtId="0" fontId="0" fillId="496" borderId="0" xfId="0" applyFill="1" applyAlignment="1">
      <alignment wrapText="1"/>
    </xf>
    <xf numFmtId="0" fontId="0" fillId="497" borderId="0" xfId="0" applyFill="1" applyAlignment="1">
      <alignment wrapText="1"/>
    </xf>
    <xf numFmtId="0" fontId="0" fillId="498" borderId="0" xfId="0" applyFill="1" applyAlignment="1">
      <alignment wrapText="1"/>
    </xf>
    <xf numFmtId="0" fontId="0" fillId="499" borderId="0" xfId="0" applyFill="1" applyAlignment="1">
      <alignment wrapText="1"/>
    </xf>
    <xf numFmtId="0" fontId="0" fillId="500" borderId="0" xfId="0" applyFill="1" applyAlignment="1">
      <alignment wrapText="1"/>
    </xf>
    <xf numFmtId="0" fontId="0" fillId="501" borderId="0" xfId="0" applyFill="1" applyAlignment="1">
      <alignment wrapText="1"/>
    </xf>
    <xf numFmtId="0" fontId="0" fillId="502" borderId="0" xfId="0" applyFill="1" applyAlignment="1">
      <alignment wrapText="1"/>
    </xf>
    <xf numFmtId="0" fontId="0" fillId="503" borderId="0" xfId="0" applyFill="1" applyAlignment="1">
      <alignment wrapText="1"/>
    </xf>
    <xf numFmtId="0" fontId="0" fillId="504" borderId="0" xfId="0" applyFill="1" applyAlignment="1">
      <alignment wrapText="1"/>
    </xf>
    <xf numFmtId="0" fontId="0" fillId="505" borderId="0" xfId="0" applyFill="1" applyAlignment="1">
      <alignment wrapText="1"/>
    </xf>
    <xf numFmtId="0" fontId="0" fillId="506" borderId="0" xfId="0" applyFill="1" applyAlignment="1">
      <alignment wrapText="1"/>
    </xf>
    <xf numFmtId="0" fontId="0" fillId="507" borderId="0" xfId="0" applyFill="1" applyAlignment="1">
      <alignment wrapText="1"/>
    </xf>
    <xf numFmtId="0" fontId="0" fillId="508" borderId="0" xfId="0" applyFill="1" applyAlignment="1">
      <alignment wrapText="1"/>
    </xf>
    <xf numFmtId="0" fontId="0" fillId="509" borderId="0" xfId="0" applyFill="1" applyAlignment="1">
      <alignment wrapText="1"/>
    </xf>
    <xf numFmtId="0" fontId="0" fillId="510" borderId="0" xfId="0" applyFill="1" applyAlignment="1">
      <alignment wrapText="1"/>
    </xf>
    <xf numFmtId="0" fontId="0" fillId="511" borderId="0" xfId="0" applyFill="1" applyAlignment="1">
      <alignment wrapText="1"/>
    </xf>
    <xf numFmtId="0" fontId="0" fillId="512" borderId="0" xfId="0" applyFill="1" applyAlignment="1">
      <alignment wrapText="1"/>
    </xf>
    <xf numFmtId="0" fontId="0" fillId="513" borderId="0" xfId="0" applyFill="1" applyAlignment="1">
      <alignment wrapText="1"/>
    </xf>
    <xf numFmtId="0" fontId="0" fillId="514" borderId="0" xfId="0" applyFill="1" applyAlignment="1">
      <alignment wrapText="1"/>
    </xf>
    <xf numFmtId="0" fontId="0" fillId="515" borderId="0" xfId="0" applyFill="1" applyAlignment="1">
      <alignment wrapText="1"/>
    </xf>
    <xf numFmtId="0" fontId="0" fillId="516" borderId="0" xfId="0" applyFill="1" applyAlignment="1">
      <alignment wrapText="1"/>
    </xf>
    <xf numFmtId="0" fontId="0" fillId="517" borderId="0" xfId="0" applyFill="1" applyAlignment="1">
      <alignment wrapText="1"/>
    </xf>
    <xf numFmtId="0" fontId="0" fillId="518" borderId="0" xfId="0" applyFill="1" applyAlignment="1">
      <alignment wrapText="1"/>
    </xf>
    <xf numFmtId="0" fontId="0" fillId="519" borderId="0" xfId="0" applyFill="1" applyAlignment="1">
      <alignment wrapText="1"/>
    </xf>
    <xf numFmtId="0" fontId="0" fillId="520" borderId="0" xfId="0" applyFill="1" applyAlignment="1">
      <alignment wrapText="1"/>
    </xf>
    <xf numFmtId="0" fontId="0" fillId="521" borderId="0" xfId="0" applyFill="1" applyAlignment="1">
      <alignment wrapText="1"/>
    </xf>
    <xf numFmtId="0" fontId="0" fillId="522" borderId="0" xfId="0" applyFill="1" applyAlignment="1">
      <alignment wrapText="1"/>
    </xf>
    <xf numFmtId="0" fontId="0" fillId="523" borderId="0" xfId="0" applyFill="1" applyAlignment="1">
      <alignment wrapText="1"/>
    </xf>
    <xf numFmtId="0" fontId="0" fillId="524" borderId="0" xfId="0" applyFill="1" applyAlignment="1">
      <alignment wrapText="1"/>
    </xf>
    <xf numFmtId="0" fontId="0" fillId="525" borderId="0" xfId="0" applyFill="1" applyAlignment="1">
      <alignment wrapText="1"/>
    </xf>
    <xf numFmtId="0" fontId="0" fillId="526" borderId="0" xfId="0" applyFill="1" applyAlignment="1">
      <alignment wrapText="1"/>
    </xf>
    <xf numFmtId="0" fontId="0" fillId="527" borderId="0" xfId="0" applyFill="1" applyAlignment="1">
      <alignment wrapText="1"/>
    </xf>
    <xf numFmtId="0" fontId="0" fillId="528" borderId="0" xfId="0" applyFill="1" applyAlignment="1">
      <alignment wrapText="1"/>
    </xf>
    <xf numFmtId="0" fontId="0" fillId="529" borderId="0" xfId="0" applyFill="1" applyAlignment="1">
      <alignment wrapText="1"/>
    </xf>
    <xf numFmtId="0" fontId="0" fillId="530" borderId="0" xfId="0" applyFill="1" applyAlignment="1">
      <alignment wrapText="1"/>
    </xf>
    <xf numFmtId="0" fontId="0" fillId="531" borderId="0" xfId="0" applyFill="1" applyAlignment="1">
      <alignment wrapText="1"/>
    </xf>
    <xf numFmtId="0" fontId="0" fillId="532" borderId="0" xfId="0" applyFill="1" applyAlignment="1">
      <alignment wrapText="1"/>
    </xf>
    <xf numFmtId="0" fontId="0" fillId="533" borderId="0" xfId="0" applyFill="1" applyAlignment="1">
      <alignment wrapText="1"/>
    </xf>
    <xf numFmtId="0" fontId="0" fillId="534" borderId="0" xfId="0" applyFill="1" applyAlignment="1">
      <alignment wrapText="1"/>
    </xf>
    <xf numFmtId="0" fontId="0" fillId="535" borderId="0" xfId="0" applyFill="1" applyAlignment="1">
      <alignment wrapText="1"/>
    </xf>
    <xf numFmtId="0" fontId="0" fillId="536" borderId="0" xfId="0" applyFill="1" applyAlignment="1">
      <alignment wrapText="1"/>
    </xf>
    <xf numFmtId="0" fontId="0" fillId="537" borderId="0" xfId="0" applyFill="1" applyAlignment="1">
      <alignment wrapText="1"/>
    </xf>
    <xf numFmtId="0" fontId="0" fillId="538" borderId="0" xfId="0" applyFill="1" applyAlignment="1">
      <alignment wrapText="1"/>
    </xf>
    <xf numFmtId="0" fontId="0" fillId="539" borderId="0" xfId="0" applyFill="1" applyAlignment="1">
      <alignment wrapText="1"/>
    </xf>
    <xf numFmtId="0" fontId="0" fillId="540" borderId="0" xfId="0" applyFill="1" applyAlignment="1">
      <alignment wrapText="1"/>
    </xf>
    <xf numFmtId="0" fontId="0" fillId="541" borderId="0" xfId="0" applyFill="1" applyAlignment="1">
      <alignment wrapText="1"/>
    </xf>
    <xf numFmtId="0" fontId="0" fillId="542" borderId="0" xfId="0" applyFill="1" applyAlignment="1">
      <alignment wrapText="1"/>
    </xf>
    <xf numFmtId="0" fontId="0" fillId="543" borderId="0" xfId="0" applyFill="1" applyAlignment="1">
      <alignment wrapText="1"/>
    </xf>
    <xf numFmtId="0" fontId="0" fillId="544" borderId="0" xfId="0" applyFill="1" applyAlignment="1">
      <alignment wrapText="1"/>
    </xf>
    <xf numFmtId="0" fontId="0" fillId="545" borderId="0" xfId="0" applyFill="1" applyAlignment="1">
      <alignment wrapText="1"/>
    </xf>
    <xf numFmtId="0" fontId="0" fillId="546" borderId="0" xfId="0" applyFill="1" applyAlignment="1">
      <alignment wrapText="1"/>
    </xf>
    <xf numFmtId="0" fontId="0" fillId="547" borderId="0" xfId="0" applyFill="1" applyAlignment="1">
      <alignment wrapText="1"/>
    </xf>
    <xf numFmtId="0" fontId="0" fillId="548" borderId="0" xfId="0" applyFill="1" applyAlignment="1">
      <alignment wrapText="1"/>
    </xf>
    <xf numFmtId="0" fontId="0" fillId="549" borderId="0" xfId="0" applyFill="1" applyAlignment="1">
      <alignment wrapText="1"/>
    </xf>
    <xf numFmtId="0" fontId="0" fillId="550" borderId="0" xfId="0" applyFill="1" applyAlignment="1">
      <alignment wrapText="1"/>
    </xf>
    <xf numFmtId="0" fontId="0" fillId="551" borderId="0" xfId="0" applyFill="1" applyAlignment="1">
      <alignment wrapText="1"/>
    </xf>
    <xf numFmtId="0" fontId="0" fillId="552" borderId="0" xfId="0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0" fontId="1" fillId="0" borderId="0" xfId="1" applyAlignment="1" applyProtection="1"/>
    <xf numFmtId="0" fontId="2" fillId="0" borderId="0" xfId="0" applyFont="1" applyFill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ADFF2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loford.com/resources/colours/500co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559"/>
  <sheetViews>
    <sheetView tabSelected="1" topLeftCell="A187" workbookViewId="0">
      <selection activeCell="N195" sqref="N195"/>
    </sheetView>
  </sheetViews>
  <sheetFormatPr defaultRowHeight="15"/>
  <cols>
    <col min="1" max="1" width="20.42578125" style="556" bestFit="1" customWidth="1"/>
    <col min="2" max="2" width="8.140625" customWidth="1"/>
    <col min="3" max="5" width="9.140625" style="554"/>
    <col min="7" max="7" width="16.28515625" style="552" customWidth="1"/>
    <col min="8" max="8" width="9.7109375" customWidth="1"/>
  </cols>
  <sheetData>
    <row r="1" spans="1:7" ht="15.75">
      <c r="A1" s="558" t="s">
        <v>550</v>
      </c>
      <c r="B1" s="559" t="s">
        <v>551</v>
      </c>
      <c r="C1" s="560" t="s">
        <v>552</v>
      </c>
      <c r="D1" s="560" t="s">
        <v>553</v>
      </c>
      <c r="E1" s="560" t="s">
        <v>554</v>
      </c>
      <c r="F1" s="560" t="s">
        <v>555</v>
      </c>
      <c r="G1" s="561" t="s">
        <v>556</v>
      </c>
    </row>
    <row r="2" spans="1:7">
      <c r="A2" s="557" t="s">
        <v>3</v>
      </c>
      <c r="B2" s="3"/>
      <c r="C2" s="555">
        <v>220</v>
      </c>
      <c r="D2" s="555">
        <v>20</v>
      </c>
      <c r="E2" s="555">
        <v>60</v>
      </c>
      <c r="F2" s="552" t="str">
        <f>DEC2HEX(BITWISE_AND(((C2 * 249) + 1014), HEX2DEC("F800"))+BITWISE_AND(INT(((D2 * 253) + 505) / 32), HEX2DEC("07E0"))+INT(((E2 * 249) + 1014) / 2048),4)</f>
        <v>D8A7</v>
      </c>
      <c r="G2" t="str">
        <f>"Const Color_" &amp; A2 &amp; " = &amp;H" &amp; F2</f>
        <v>Const Color_crimson = &amp;HD8A7</v>
      </c>
    </row>
    <row r="3" spans="1:7">
      <c r="A3" s="557" t="s">
        <v>4</v>
      </c>
      <c r="B3" s="4"/>
      <c r="C3" s="555">
        <v>255</v>
      </c>
      <c r="D3" s="555">
        <v>182</v>
      </c>
      <c r="E3" s="555">
        <v>193</v>
      </c>
      <c r="F3" s="552" t="str">
        <f>DEC2HEX(BITWISE_AND(((C3 * 249) + 1014), HEX2DEC("F800"))+BITWISE_AND(INT(((D3 * 253) + 505) / 32), HEX2DEC("07E0"))+INT(((E3 * 249) + 1014) / 2048),4)</f>
        <v>FDB7</v>
      </c>
      <c r="G3" t="str">
        <f>"Const Color_" &amp; A3 &amp; " = &amp;H" &amp; F3</f>
        <v>Const Color_lightpink = &amp;HFDB7</v>
      </c>
    </row>
    <row r="4" spans="1:7">
      <c r="A4" s="557" t="s">
        <v>112</v>
      </c>
      <c r="B4" s="5"/>
      <c r="C4" s="555">
        <v>255</v>
      </c>
      <c r="D4" s="555">
        <v>174</v>
      </c>
      <c r="E4" s="555">
        <v>185</v>
      </c>
      <c r="F4" s="552" t="str">
        <f>DEC2HEX(BITWISE_AND(((C4 * 249) + 1014), HEX2DEC("F800"))+BITWISE_AND(INT(((D4 * 253) + 505) / 32), HEX2DEC("07E0"))+INT(((E4 * 249) + 1014) / 2048),4)</f>
        <v>FD76</v>
      </c>
      <c r="G4" t="str">
        <f>"Const Color_" &amp; A4 &amp; " = &amp;H" &amp; F4</f>
        <v>Const Color_lightpink1 = &amp;HFD76</v>
      </c>
    </row>
    <row r="5" spans="1:7" ht="15" customHeight="1">
      <c r="A5" s="557" t="s">
        <v>113</v>
      </c>
      <c r="B5" s="6"/>
      <c r="C5" s="555">
        <v>238</v>
      </c>
      <c r="D5" s="555">
        <v>162</v>
      </c>
      <c r="E5" s="555">
        <v>173</v>
      </c>
      <c r="F5" s="552" t="str">
        <f>DEC2HEX(BITWISE_AND(((C5 * 249) + 1014), HEX2DEC("F800"))+BITWISE_AND(INT(((D5 * 253) + 505) / 32), HEX2DEC("07E0"))+INT(((E5 * 249) + 1014) / 2048),4)</f>
        <v>ED15</v>
      </c>
      <c r="G5" t="str">
        <f>"Const Color_" &amp; A5 &amp; " = &amp;H" &amp; F5</f>
        <v>Const Color_lightpink2 = &amp;HED15</v>
      </c>
    </row>
    <row r="6" spans="1:7" ht="15" customHeight="1">
      <c r="A6" s="557" t="s">
        <v>114</v>
      </c>
      <c r="B6" s="7"/>
      <c r="C6" s="555">
        <v>205</v>
      </c>
      <c r="D6" s="555">
        <v>140</v>
      </c>
      <c r="E6" s="555">
        <v>149</v>
      </c>
      <c r="F6" s="552" t="str">
        <f>DEC2HEX(BITWISE_AND(((C6 * 249) + 1014), HEX2DEC("F800"))+BITWISE_AND(INT(((D6 * 253) + 505) / 32), HEX2DEC("07E0"))+INT(((E6 * 249) + 1014) / 2048),4)</f>
        <v>CC72</v>
      </c>
      <c r="G6" t="str">
        <f>"Const Color_" &amp; A6 &amp; " = &amp;H" &amp; F6</f>
        <v>Const Color_lightpink3 = &amp;HCC72</v>
      </c>
    </row>
    <row r="7" spans="1:7" ht="15" customHeight="1">
      <c r="A7" s="557" t="s">
        <v>115</v>
      </c>
      <c r="B7" s="8"/>
      <c r="C7" s="555">
        <v>139</v>
      </c>
      <c r="D7" s="555">
        <v>95</v>
      </c>
      <c r="E7" s="555">
        <v>101</v>
      </c>
      <c r="F7" s="552" t="str">
        <f>DEC2HEX(BITWISE_AND(((C7 * 249) + 1014), HEX2DEC("F800"))+BITWISE_AND(INT(((D7 * 253) + 505) / 32), HEX2DEC("07E0"))+INT(((E7 * 249) + 1014) / 2048),4)</f>
        <v>8AEC</v>
      </c>
      <c r="G7" t="str">
        <f>"Const Color_" &amp; A7 &amp; " = &amp;H" &amp; F7</f>
        <v>Const Color_lightpink4 = &amp;H8AEC</v>
      </c>
    </row>
    <row r="8" spans="1:7" ht="15" customHeight="1">
      <c r="A8" s="557" t="s">
        <v>5</v>
      </c>
      <c r="B8" s="9"/>
      <c r="C8" s="555">
        <v>255</v>
      </c>
      <c r="D8" s="555">
        <v>192</v>
      </c>
      <c r="E8" s="555">
        <v>203</v>
      </c>
      <c r="F8" s="552" t="str">
        <f>DEC2HEX(BITWISE_AND(((C8 * 249) + 1014), HEX2DEC("F800"))+BITWISE_AND(INT(((D8 * 253) + 505) / 32), HEX2DEC("07E0"))+INT(((E8 * 249) + 1014) / 2048),4)</f>
        <v>FDF9</v>
      </c>
      <c r="G8" t="str">
        <f>"Const Color_" &amp; A8 &amp; " = &amp;H" &amp; F8</f>
        <v>Const Color_pink = &amp;HFDF9</v>
      </c>
    </row>
    <row r="9" spans="1:7" ht="15" customHeight="1">
      <c r="A9" s="557" t="s">
        <v>116</v>
      </c>
      <c r="B9" s="10"/>
      <c r="C9" s="555">
        <v>255</v>
      </c>
      <c r="D9" s="555">
        <v>181</v>
      </c>
      <c r="E9" s="555">
        <v>197</v>
      </c>
      <c r="F9" s="552" t="str">
        <f>DEC2HEX(BITWISE_AND(((C9 * 249) + 1014), HEX2DEC("F800"))+BITWISE_AND(INT(((D9 * 253) + 505) / 32), HEX2DEC("07E0"))+INT(((E9 * 249) + 1014) / 2048),4)</f>
        <v>FDB8</v>
      </c>
      <c r="G9" t="str">
        <f>"Const Color_" &amp; A9 &amp; " = &amp;H" &amp; F9</f>
        <v>Const Color_pink1 = &amp;HFDB8</v>
      </c>
    </row>
    <row r="10" spans="1:7" ht="15" customHeight="1">
      <c r="A10" s="557" t="s">
        <v>117</v>
      </c>
      <c r="B10" s="11"/>
      <c r="C10" s="555">
        <v>238</v>
      </c>
      <c r="D10" s="555">
        <v>169</v>
      </c>
      <c r="E10" s="555">
        <v>184</v>
      </c>
      <c r="F10" s="552" t="str">
        <f>DEC2HEX(BITWISE_AND(((C10 * 249) + 1014), HEX2DEC("F800"))+BITWISE_AND(INT(((D10 * 253) + 505) / 32), HEX2DEC("07E0"))+INT(((E10 * 249) + 1014) / 2048),4)</f>
        <v>ED56</v>
      </c>
      <c r="G10" t="str">
        <f>"Const Color_" &amp; A10 &amp; " = &amp;H" &amp; F10</f>
        <v>Const Color_pink2 = &amp;HED56</v>
      </c>
    </row>
    <row r="11" spans="1:7" ht="15" customHeight="1">
      <c r="A11" s="557" t="s">
        <v>118</v>
      </c>
      <c r="B11" s="12"/>
      <c r="C11" s="555">
        <v>205</v>
      </c>
      <c r="D11" s="555">
        <v>145</v>
      </c>
      <c r="E11" s="555">
        <v>158</v>
      </c>
      <c r="F11" s="552" t="str">
        <f>DEC2HEX(BITWISE_AND(((C11 * 249) + 1014), HEX2DEC("F800"))+BITWISE_AND(INT(((D11 * 253) + 505) / 32), HEX2DEC("07E0"))+INT(((E11 * 249) + 1014) / 2048),4)</f>
        <v>CC93</v>
      </c>
      <c r="G11" t="str">
        <f>"Const Color_" &amp; A11 &amp; " = &amp;H" &amp; F11</f>
        <v>Const Color_pink3 = &amp;HCC93</v>
      </c>
    </row>
    <row r="12" spans="1:7" ht="15" customHeight="1">
      <c r="A12" s="557" t="s">
        <v>119</v>
      </c>
      <c r="B12" s="13"/>
      <c r="C12" s="555">
        <v>139</v>
      </c>
      <c r="D12" s="555">
        <v>99</v>
      </c>
      <c r="E12" s="555">
        <v>108</v>
      </c>
      <c r="F12" s="552" t="str">
        <f>DEC2HEX(BITWISE_AND(((C12 * 249) + 1014), HEX2DEC("F800"))+BITWISE_AND(INT(((D12 * 253) + 505) / 32), HEX2DEC("07E0"))+INT(((E12 * 249) + 1014) / 2048),4)</f>
        <v>8B0D</v>
      </c>
      <c r="G12" t="str">
        <f>"Const Color_" &amp; A12 &amp; " = &amp;H" &amp; F12</f>
        <v>Const Color_pink4 = &amp;H8B0D</v>
      </c>
    </row>
    <row r="13" spans="1:7" ht="15" customHeight="1">
      <c r="A13" s="557" t="s">
        <v>6</v>
      </c>
      <c r="B13" s="14"/>
      <c r="C13" s="555">
        <v>219</v>
      </c>
      <c r="D13" s="555">
        <v>112</v>
      </c>
      <c r="E13" s="555">
        <v>147</v>
      </c>
      <c r="F13" s="552" t="str">
        <f>DEC2HEX(BITWISE_AND(((C13 * 249) + 1014), HEX2DEC("F800"))+BITWISE_AND(INT(((D13 * 253) + 505) / 32), HEX2DEC("07E0"))+INT(((E13 * 249) + 1014) / 2048),4)</f>
        <v>DB92</v>
      </c>
      <c r="G13" t="str">
        <f>"Const Color_" &amp; A13 &amp; " = &amp;H" &amp; F13</f>
        <v>Const Color_palevioletred = &amp;HDB92</v>
      </c>
    </row>
    <row r="14" spans="1:7" ht="15" customHeight="1">
      <c r="A14" s="557" t="s">
        <v>120</v>
      </c>
      <c r="B14" s="15"/>
      <c r="C14" s="555">
        <v>255</v>
      </c>
      <c r="D14" s="555">
        <v>130</v>
      </c>
      <c r="E14" s="555">
        <v>171</v>
      </c>
      <c r="F14" s="552" t="str">
        <f>DEC2HEX(BITWISE_AND(((C14 * 249) + 1014), HEX2DEC("F800"))+BITWISE_AND(INT(((D14 * 253) + 505) / 32), HEX2DEC("07E0"))+INT(((E14 * 249) + 1014) / 2048),4)</f>
        <v>FC15</v>
      </c>
      <c r="G14" t="str">
        <f>"Const Color_" &amp; A14 &amp; " = &amp;H" &amp; F14</f>
        <v>Const Color_palevioletred1 = &amp;HFC15</v>
      </c>
    </row>
    <row r="15" spans="1:7" ht="15" customHeight="1">
      <c r="A15" s="557" t="s">
        <v>121</v>
      </c>
      <c r="B15" s="16"/>
      <c r="C15" s="555">
        <v>238</v>
      </c>
      <c r="D15" s="555">
        <v>121</v>
      </c>
      <c r="E15" s="555">
        <v>159</v>
      </c>
      <c r="F15" s="552" t="str">
        <f>DEC2HEX(BITWISE_AND(((C15 * 249) + 1014), HEX2DEC("F800"))+BITWISE_AND(INT(((D15 * 253) + 505) / 32), HEX2DEC("07E0"))+INT(((E15 * 249) + 1014) / 2048),4)</f>
        <v>EBD3</v>
      </c>
      <c r="G15" t="str">
        <f>"Const Color_" &amp; A15 &amp; " = &amp;H" &amp; F15</f>
        <v>Const Color_palevioletred2 = &amp;HEBD3</v>
      </c>
    </row>
    <row r="16" spans="1:7" ht="15" customHeight="1">
      <c r="A16" s="557" t="s">
        <v>122</v>
      </c>
      <c r="B16" s="17"/>
      <c r="C16" s="555">
        <v>205</v>
      </c>
      <c r="D16" s="555">
        <v>104</v>
      </c>
      <c r="E16" s="555">
        <v>137</v>
      </c>
      <c r="F16" s="552" t="str">
        <f>DEC2HEX(BITWISE_AND(((C16 * 249) + 1014), HEX2DEC("F800"))+BITWISE_AND(INT(((D16 * 253) + 505) / 32), HEX2DEC("07E0"))+INT(((E16 * 249) + 1014) / 2048),4)</f>
        <v>CB51</v>
      </c>
      <c r="G16" t="str">
        <f>"Const Color_" &amp; A16 &amp; " = &amp;H" &amp; F16</f>
        <v>Const Color_palevioletred3 = &amp;HCB51</v>
      </c>
    </row>
    <row r="17" spans="1:7" ht="15" customHeight="1">
      <c r="A17" s="557" t="s">
        <v>123</v>
      </c>
      <c r="B17" s="18"/>
      <c r="C17" s="555">
        <v>139</v>
      </c>
      <c r="D17" s="555">
        <v>71</v>
      </c>
      <c r="E17" s="555">
        <v>93</v>
      </c>
      <c r="F17" s="552" t="str">
        <f>DEC2HEX(BITWISE_AND(((C17 * 249) + 1014), HEX2DEC("F800"))+BITWISE_AND(INT(((D17 * 253) + 505) / 32), HEX2DEC("07E0"))+INT(((E17 * 249) + 1014) / 2048),4)</f>
        <v>8A4B</v>
      </c>
      <c r="G17" t="str">
        <f>"Const Color_" &amp; A17 &amp; " = &amp;H" &amp; F17</f>
        <v>Const Color_palevioletred4 = &amp;H8A4B</v>
      </c>
    </row>
    <row r="18" spans="1:7" ht="15" customHeight="1">
      <c r="A18" s="557" t="s">
        <v>512</v>
      </c>
      <c r="B18" s="19"/>
      <c r="C18" s="555">
        <v>255</v>
      </c>
      <c r="D18" s="555">
        <v>240</v>
      </c>
      <c r="E18" s="555">
        <v>245</v>
      </c>
      <c r="F18" s="552" t="str">
        <f>DEC2HEX(BITWISE_AND(((C18 * 249) + 1014), HEX2DEC("F800"))+BITWISE_AND(INT(((D18 * 253) + 505) / 32), HEX2DEC("07E0"))+INT(((E18 * 249) + 1014) / 2048),4)</f>
        <v>FF7E</v>
      </c>
      <c r="G18" t="str">
        <f>"Const Color_" &amp; A18 &amp; " = &amp;H" &amp; F18</f>
        <v>Const Color_lavenderblush = &amp;HFF7E</v>
      </c>
    </row>
    <row r="19" spans="1:7" ht="15" customHeight="1">
      <c r="A19" s="557" t="s">
        <v>124</v>
      </c>
      <c r="B19" s="20"/>
      <c r="C19" s="555">
        <v>238</v>
      </c>
      <c r="D19" s="555">
        <v>224</v>
      </c>
      <c r="E19" s="555">
        <v>229</v>
      </c>
      <c r="F19" s="552" t="str">
        <f>DEC2HEX(BITWISE_AND(((C19 * 249) + 1014), HEX2DEC("F800"))+BITWISE_AND(INT(((D19 * 253) + 505) / 32), HEX2DEC("07E0"))+INT(((E19 * 249) + 1014) / 2048),4)</f>
        <v>EEFC</v>
      </c>
      <c r="G19" t="str">
        <f>"Const Color_" &amp; A19 &amp; " = &amp;H" &amp; F19</f>
        <v>Const Color_lavenderblush2 = &amp;HEEFC</v>
      </c>
    </row>
    <row r="20" spans="1:7" ht="15" customHeight="1">
      <c r="A20" s="557" t="s">
        <v>125</v>
      </c>
      <c r="B20" s="21"/>
      <c r="C20" s="555">
        <v>205</v>
      </c>
      <c r="D20" s="555">
        <v>193</v>
      </c>
      <c r="E20" s="555">
        <v>197</v>
      </c>
      <c r="F20" s="552" t="str">
        <f>DEC2HEX(BITWISE_AND(((C20 * 249) + 1014), HEX2DEC("F800"))+BITWISE_AND(INT(((D20 * 253) + 505) / 32), HEX2DEC("07E0"))+INT(((E20 * 249) + 1014) / 2048),4)</f>
        <v>CE18</v>
      </c>
      <c r="G20" t="str">
        <f>"Const Color_" &amp; A20 &amp; " = &amp;H" &amp; F20</f>
        <v>Const Color_lavenderblush3 = &amp;HCE18</v>
      </c>
    </row>
    <row r="21" spans="1:7" ht="15" customHeight="1">
      <c r="A21" s="557" t="s">
        <v>126</v>
      </c>
      <c r="B21" s="22"/>
      <c r="C21" s="555">
        <v>139</v>
      </c>
      <c r="D21" s="555">
        <v>131</v>
      </c>
      <c r="E21" s="555">
        <v>134</v>
      </c>
      <c r="F21" s="552" t="str">
        <f>DEC2HEX(BITWISE_AND(((C21 * 249) + 1014), HEX2DEC("F800"))+BITWISE_AND(INT(((D21 * 253) + 505) / 32), HEX2DEC("07E0"))+INT(((E21 * 249) + 1014) / 2048),4)</f>
        <v>8C10</v>
      </c>
      <c r="G21" t="str">
        <f>"Const Color_" &amp; A21 &amp; " = &amp;H" &amp; F21</f>
        <v>Const Color_lavenderblush4 = &amp;H8C10</v>
      </c>
    </row>
    <row r="22" spans="1:7" ht="15" customHeight="1">
      <c r="A22" s="557" t="s">
        <v>127</v>
      </c>
      <c r="B22" s="23"/>
      <c r="C22" s="555">
        <v>255</v>
      </c>
      <c r="D22" s="555">
        <v>62</v>
      </c>
      <c r="E22" s="555">
        <v>150</v>
      </c>
      <c r="F22" s="552" t="str">
        <f>DEC2HEX(BITWISE_AND(((C22 * 249) + 1014), HEX2DEC("F800"))+BITWISE_AND(INT(((D22 * 253) + 505) / 32), HEX2DEC("07E0"))+INT(((E22 * 249) + 1014) / 2048),4)</f>
        <v>F9F2</v>
      </c>
      <c r="G22" t="str">
        <f>"Const Color_" &amp; A22 &amp; " = &amp;H" &amp; F22</f>
        <v>Const Color_violetred1 = &amp;HF9F2</v>
      </c>
    </row>
    <row r="23" spans="1:7" ht="15" customHeight="1">
      <c r="A23" s="557" t="s">
        <v>128</v>
      </c>
      <c r="B23" s="24"/>
      <c r="C23" s="555">
        <v>238</v>
      </c>
      <c r="D23" s="555">
        <v>58</v>
      </c>
      <c r="E23" s="555">
        <v>140</v>
      </c>
      <c r="F23" s="552" t="str">
        <f>DEC2HEX(BITWISE_AND(((C23 * 249) + 1014), HEX2DEC("F800"))+BITWISE_AND(INT(((D23 * 253) + 505) / 32), HEX2DEC("07E0"))+INT(((E23 * 249) + 1014) / 2048),4)</f>
        <v>E9D1</v>
      </c>
      <c r="G23" t="str">
        <f>"Const Color_" &amp; A23 &amp; " = &amp;H" &amp; F23</f>
        <v>Const Color_violetred2 = &amp;HE9D1</v>
      </c>
    </row>
    <row r="24" spans="1:7" ht="15" customHeight="1">
      <c r="A24" s="557" t="s">
        <v>129</v>
      </c>
      <c r="B24" s="25"/>
      <c r="C24" s="555">
        <v>205</v>
      </c>
      <c r="D24" s="555">
        <v>50</v>
      </c>
      <c r="E24" s="555">
        <v>120</v>
      </c>
      <c r="F24" s="552" t="str">
        <f>DEC2HEX(BITWISE_AND(((C24 * 249) + 1014), HEX2DEC("F800"))+BITWISE_AND(INT(((D24 * 253) + 505) / 32), HEX2DEC("07E0"))+INT(((E24 * 249) + 1014) / 2048),4)</f>
        <v>C98F</v>
      </c>
      <c r="G24" t="str">
        <f>"Const Color_" &amp; A24 &amp; " = &amp;H" &amp; F24</f>
        <v>Const Color_violetred3 = &amp;HC98F</v>
      </c>
    </row>
    <row r="25" spans="1:7" ht="15" customHeight="1">
      <c r="A25" s="557" t="s">
        <v>130</v>
      </c>
      <c r="B25" s="26"/>
      <c r="C25" s="555">
        <v>139</v>
      </c>
      <c r="D25" s="555">
        <v>34</v>
      </c>
      <c r="E25" s="555">
        <v>82</v>
      </c>
      <c r="F25" s="552" t="str">
        <f>DEC2HEX(BITWISE_AND(((C25 * 249) + 1014), HEX2DEC("F800"))+BITWISE_AND(INT(((D25 * 253) + 505) / 32), HEX2DEC("07E0"))+INT(((E25 * 249) + 1014) / 2048),4)</f>
        <v>890A</v>
      </c>
      <c r="G25" t="str">
        <f>"Const Color_" &amp; A25 &amp; " = &amp;H" &amp; F25</f>
        <v>Const Color_violetred4 = &amp;H890A</v>
      </c>
    </row>
    <row r="26" spans="1:7" ht="15" customHeight="1">
      <c r="A26" s="557" t="s">
        <v>7</v>
      </c>
      <c r="B26" s="27"/>
      <c r="C26" s="555">
        <v>255</v>
      </c>
      <c r="D26" s="555">
        <v>105</v>
      </c>
      <c r="E26" s="555">
        <v>180</v>
      </c>
      <c r="F26" s="552" t="str">
        <f>DEC2HEX(BITWISE_AND(((C26 * 249) + 1014), HEX2DEC("F800"))+BITWISE_AND(INT(((D26 * 253) + 505) / 32), HEX2DEC("07E0"))+INT(((E26 * 249) + 1014) / 2048),4)</f>
        <v>FB56</v>
      </c>
      <c r="G26" t="str">
        <f>"Const Color_" &amp; A26 &amp; " = &amp;H" &amp; F26</f>
        <v>Const Color_hotpink = &amp;HFB56</v>
      </c>
    </row>
    <row r="27" spans="1:7" ht="15" customHeight="1">
      <c r="A27" s="557" t="s">
        <v>131</v>
      </c>
      <c r="B27" s="28"/>
      <c r="C27" s="555">
        <v>255</v>
      </c>
      <c r="D27" s="555">
        <v>110</v>
      </c>
      <c r="E27" s="555">
        <v>180</v>
      </c>
      <c r="F27" s="552" t="str">
        <f>DEC2HEX(BITWISE_AND(((C27 * 249) + 1014), HEX2DEC("F800"))+BITWISE_AND(INT(((D27 * 253) + 505) / 32), HEX2DEC("07E0"))+INT(((E27 * 249) + 1014) / 2048),4)</f>
        <v>FB76</v>
      </c>
      <c r="G27" t="str">
        <f>"Const Color_" &amp; A27 &amp; " = &amp;H" &amp; F27</f>
        <v>Const Color_hotpink1 = &amp;HFB76</v>
      </c>
    </row>
    <row r="28" spans="1:7" ht="15" customHeight="1">
      <c r="A28" s="557" t="s">
        <v>132</v>
      </c>
      <c r="B28" s="29"/>
      <c r="C28" s="555">
        <v>238</v>
      </c>
      <c r="D28" s="555">
        <v>106</v>
      </c>
      <c r="E28" s="555">
        <v>167</v>
      </c>
      <c r="F28" s="552" t="str">
        <f>DEC2HEX(BITWISE_AND(((C28 * 249) + 1014), HEX2DEC("F800"))+BITWISE_AND(INT(((D28 * 253) + 505) / 32), HEX2DEC("07E0"))+INT(((E28 * 249) + 1014) / 2048),4)</f>
        <v>EB54</v>
      </c>
      <c r="G28" t="str">
        <f>"Const Color_" &amp; A28 &amp; " = &amp;H" &amp; F28</f>
        <v>Const Color_hotpink2 = &amp;HEB54</v>
      </c>
    </row>
    <row r="29" spans="1:7" ht="15" customHeight="1">
      <c r="A29" s="557" t="s">
        <v>133</v>
      </c>
      <c r="B29" s="30"/>
      <c r="C29" s="555">
        <v>205</v>
      </c>
      <c r="D29" s="555">
        <v>96</v>
      </c>
      <c r="E29" s="555">
        <v>144</v>
      </c>
      <c r="F29" s="552" t="str">
        <f>DEC2HEX(BITWISE_AND(((C29 * 249) + 1014), HEX2DEC("F800"))+BITWISE_AND(INT(((D29 * 253) + 505) / 32), HEX2DEC("07E0"))+INT(((E29 * 249) + 1014) / 2048),4)</f>
        <v>CB12</v>
      </c>
      <c r="G29" t="str">
        <f>"Const Color_" &amp; A29 &amp; " = &amp;H" &amp; F29</f>
        <v>Const Color_hotpink3 = &amp;HCB12</v>
      </c>
    </row>
    <row r="30" spans="1:7" ht="15" customHeight="1">
      <c r="A30" s="557" t="s">
        <v>134</v>
      </c>
      <c r="B30" s="31"/>
      <c r="C30" s="555">
        <v>139</v>
      </c>
      <c r="D30" s="555">
        <v>58</v>
      </c>
      <c r="E30" s="555">
        <v>98</v>
      </c>
      <c r="F30" s="552" t="str">
        <f>DEC2HEX(BITWISE_AND(((C30 * 249) + 1014), HEX2DEC("F800"))+BITWISE_AND(INT(((D30 * 253) + 505) / 32), HEX2DEC("07E0"))+INT(((E30 * 249) + 1014) / 2048),4)</f>
        <v>89CC</v>
      </c>
      <c r="G30" t="str">
        <f>"Const Color_" &amp; A30 &amp; " = &amp;H" &amp; F30</f>
        <v>Const Color_hotpink4 = &amp;H89CC</v>
      </c>
    </row>
    <row r="31" spans="1:7" ht="15" customHeight="1">
      <c r="A31" s="557" t="s">
        <v>8</v>
      </c>
      <c r="B31" s="32"/>
      <c r="C31" s="555">
        <v>135</v>
      </c>
      <c r="D31" s="555">
        <v>38</v>
      </c>
      <c r="E31" s="555">
        <v>87</v>
      </c>
      <c r="F31" s="552" t="str">
        <f>DEC2HEX(BITWISE_AND(((C31 * 249) + 1014), HEX2DEC("F800"))+BITWISE_AND(INT(((D31 * 253) + 505) / 32), HEX2DEC("07E0"))+INT(((E31 * 249) + 1014) / 2048),4)</f>
        <v>812B</v>
      </c>
      <c r="G31" t="str">
        <f>"Const Color_" &amp; A31 &amp; " = &amp;H" &amp; F31</f>
        <v>Const Color_raspberry = &amp;H812B</v>
      </c>
    </row>
    <row r="32" spans="1:7" ht="15" customHeight="1">
      <c r="A32" s="557" t="s">
        <v>513</v>
      </c>
      <c r="B32" s="33"/>
      <c r="C32" s="555">
        <v>255</v>
      </c>
      <c r="D32" s="555">
        <v>20</v>
      </c>
      <c r="E32" s="555">
        <v>147</v>
      </c>
      <c r="F32" s="552" t="str">
        <f>DEC2HEX(BITWISE_AND(((C32 * 249) + 1014), HEX2DEC("F800"))+BITWISE_AND(INT(((D32 * 253) + 505) / 32), HEX2DEC("07E0"))+INT(((E32 * 249) + 1014) / 2048),4)</f>
        <v>F8B2</v>
      </c>
      <c r="G32" t="str">
        <f>"Const Color_" &amp; A32 &amp; " = &amp;H" &amp; F32</f>
        <v>Const Color_deeppink = &amp;HF8B2</v>
      </c>
    </row>
    <row r="33" spans="1:7" ht="15" customHeight="1">
      <c r="A33" s="557" t="s">
        <v>135</v>
      </c>
      <c r="B33" s="34"/>
      <c r="C33" s="555">
        <v>238</v>
      </c>
      <c r="D33" s="555">
        <v>18</v>
      </c>
      <c r="E33" s="555">
        <v>137</v>
      </c>
      <c r="F33" s="552" t="str">
        <f>DEC2HEX(BITWISE_AND(((C33 * 249) + 1014), HEX2DEC("F800"))+BITWISE_AND(INT(((D33 * 253) + 505) / 32), HEX2DEC("07E0"))+INT(((E33 * 249) + 1014) / 2048),4)</f>
        <v>E891</v>
      </c>
      <c r="G33" t="str">
        <f>"Const Color_" &amp; A33 &amp; " = &amp;H" &amp; F33</f>
        <v>Const Color_deeppink2 = &amp;HE891</v>
      </c>
    </row>
    <row r="34" spans="1:7" ht="15" customHeight="1">
      <c r="A34" s="557" t="s">
        <v>136</v>
      </c>
      <c r="B34" s="35"/>
      <c r="C34" s="555">
        <v>205</v>
      </c>
      <c r="D34" s="555">
        <v>16</v>
      </c>
      <c r="E34" s="555">
        <v>118</v>
      </c>
      <c r="F34" s="552" t="str">
        <f>DEC2HEX(BITWISE_AND(((C34 * 249) + 1014), HEX2DEC("F800"))+BITWISE_AND(INT(((D34 * 253) + 505) / 32), HEX2DEC("07E0"))+INT(((E34 * 249) + 1014) / 2048),4)</f>
        <v>C88E</v>
      </c>
      <c r="G34" t="str">
        <f>"Const Color_" &amp; A34 &amp; " = &amp;H" &amp; F34</f>
        <v>Const Color_deeppink3 = &amp;HC88E</v>
      </c>
    </row>
    <row r="35" spans="1:7" ht="15" customHeight="1">
      <c r="A35" s="557" t="s">
        <v>137</v>
      </c>
      <c r="B35" s="36"/>
      <c r="C35" s="555">
        <v>139</v>
      </c>
      <c r="D35" s="555">
        <v>10</v>
      </c>
      <c r="E35" s="555">
        <v>80</v>
      </c>
      <c r="F35" s="552" t="str">
        <f>DEC2HEX(BITWISE_AND(((C35 * 249) + 1014), HEX2DEC("F800"))+BITWISE_AND(INT(((D35 * 253) + 505) / 32), HEX2DEC("07E0"))+INT(((E35 * 249) + 1014) / 2048),4)</f>
        <v>884A</v>
      </c>
      <c r="G35" t="str">
        <f>"Const Color_" &amp; A35 &amp; " = &amp;H" &amp; F35</f>
        <v>Const Color_deeppink4 = &amp;H884A</v>
      </c>
    </row>
    <row r="36" spans="1:7" ht="15" customHeight="1">
      <c r="A36" s="557" t="s">
        <v>138</v>
      </c>
      <c r="B36" s="37"/>
      <c r="C36" s="555">
        <v>255</v>
      </c>
      <c r="D36" s="555">
        <v>52</v>
      </c>
      <c r="E36" s="555">
        <v>179</v>
      </c>
      <c r="F36" s="552" t="str">
        <f>DEC2HEX(BITWISE_AND(((C36 * 249) + 1014), HEX2DEC("F800"))+BITWISE_AND(INT(((D36 * 253) + 505) / 32), HEX2DEC("07E0"))+INT(((E36 * 249) + 1014) / 2048),4)</f>
        <v>F9B6</v>
      </c>
      <c r="G36" t="str">
        <f>"Const Color_" &amp; A36 &amp; " = &amp;H" &amp; F36</f>
        <v>Const Color_maroon1 = &amp;HF9B6</v>
      </c>
    </row>
    <row r="37" spans="1:7" ht="15" customHeight="1">
      <c r="A37" s="557" t="s">
        <v>139</v>
      </c>
      <c r="B37" s="38"/>
      <c r="C37" s="555">
        <v>238</v>
      </c>
      <c r="D37" s="555">
        <v>48</v>
      </c>
      <c r="E37" s="555">
        <v>167</v>
      </c>
      <c r="F37" s="552" t="str">
        <f>DEC2HEX(BITWISE_AND(((C37 * 249) + 1014), HEX2DEC("F800"))+BITWISE_AND(INT(((D37 * 253) + 505) / 32), HEX2DEC("07E0"))+INT(((E37 * 249) + 1014) / 2048),4)</f>
        <v>E994</v>
      </c>
      <c r="G37" t="str">
        <f>"Const Color_" &amp; A37 &amp; " = &amp;H" &amp; F37</f>
        <v>Const Color_maroon2 = &amp;HE994</v>
      </c>
    </row>
    <row r="38" spans="1:7" ht="15" customHeight="1">
      <c r="A38" s="557" t="s">
        <v>140</v>
      </c>
      <c r="B38" s="39"/>
      <c r="C38" s="555">
        <v>205</v>
      </c>
      <c r="D38" s="555">
        <v>41</v>
      </c>
      <c r="E38" s="555">
        <v>144</v>
      </c>
      <c r="F38" s="552" t="str">
        <f>DEC2HEX(BITWISE_AND(((C38 * 249) + 1014), HEX2DEC("F800"))+BITWISE_AND(INT(((D38 * 253) + 505) / 32), HEX2DEC("07E0"))+INT(((E38 * 249) + 1014) / 2048),4)</f>
        <v>C952</v>
      </c>
      <c r="G38" t="str">
        <f>"Const Color_" &amp; A38 &amp; " = &amp;H" &amp; F38</f>
        <v>Const Color_maroon3 = &amp;HC952</v>
      </c>
    </row>
    <row r="39" spans="1:7" ht="15" customHeight="1">
      <c r="A39" s="557" t="s">
        <v>141</v>
      </c>
      <c r="B39" s="40"/>
      <c r="C39" s="555">
        <v>139</v>
      </c>
      <c r="D39" s="555">
        <v>28</v>
      </c>
      <c r="E39" s="555">
        <v>98</v>
      </c>
      <c r="F39" s="552" t="str">
        <f>DEC2HEX(BITWISE_AND(((C39 * 249) + 1014), HEX2DEC("F800"))+BITWISE_AND(INT(((D39 * 253) + 505) / 32), HEX2DEC("07E0"))+INT(((E39 * 249) + 1014) / 2048),4)</f>
        <v>88EC</v>
      </c>
      <c r="G39" t="str">
        <f>"Const Color_" &amp; A39 &amp; " = &amp;H" &amp; F39</f>
        <v>Const Color_maroon4 = &amp;H88EC</v>
      </c>
    </row>
    <row r="40" spans="1:7" ht="15" customHeight="1">
      <c r="A40" s="557" t="s">
        <v>9</v>
      </c>
      <c r="B40" s="41"/>
      <c r="C40" s="555">
        <v>199</v>
      </c>
      <c r="D40" s="555">
        <v>21</v>
      </c>
      <c r="E40" s="555">
        <v>133</v>
      </c>
      <c r="F40" s="552" t="str">
        <f>DEC2HEX(BITWISE_AND(((C40 * 249) + 1014), HEX2DEC("F800"))+BITWISE_AND(INT(((D40 * 253) + 505) / 32), HEX2DEC("07E0"))+INT(((E40 * 249) + 1014) / 2048),4)</f>
        <v>C0B0</v>
      </c>
      <c r="G40" t="str">
        <f>"Const Color_" &amp; A40 &amp; " = &amp;H" &amp; F40</f>
        <v>Const Color_mediumvioletred = &amp;HC0B0</v>
      </c>
    </row>
    <row r="41" spans="1:7" ht="15" customHeight="1">
      <c r="A41" s="557" t="s">
        <v>10</v>
      </c>
      <c r="B41" s="42"/>
      <c r="C41" s="555">
        <v>208</v>
      </c>
      <c r="D41" s="555">
        <v>32</v>
      </c>
      <c r="E41" s="555">
        <v>144</v>
      </c>
      <c r="F41" s="552" t="str">
        <f>DEC2HEX(BITWISE_AND(((C41 * 249) + 1014), HEX2DEC("F800"))+BITWISE_AND(INT(((D41 * 253) + 505) / 32), HEX2DEC("07E0"))+INT(((E41 * 249) + 1014) / 2048),4)</f>
        <v>C912</v>
      </c>
      <c r="G41" t="str">
        <f>"Const Color_" &amp; A41 &amp; " = &amp;H" &amp; F41</f>
        <v>Const Color_violetred = &amp;HC912</v>
      </c>
    </row>
    <row r="42" spans="1:7" ht="15" customHeight="1">
      <c r="A42" s="557" t="s">
        <v>11</v>
      </c>
      <c r="B42" s="43"/>
      <c r="C42" s="555">
        <v>218</v>
      </c>
      <c r="D42" s="555">
        <v>112</v>
      </c>
      <c r="E42" s="555">
        <v>214</v>
      </c>
      <c r="F42" s="552" t="str">
        <f>DEC2HEX(BITWISE_AND(((C42 * 249) + 1014), HEX2DEC("F800"))+BITWISE_AND(INT(((D42 * 253) + 505) / 32), HEX2DEC("07E0"))+INT(((E42 * 249) + 1014) / 2048),4)</f>
        <v>DB9A</v>
      </c>
      <c r="G42" t="str">
        <f>"Const Color_" &amp; A42 &amp; " = &amp;H" &amp; F42</f>
        <v>Const Color_orchid = &amp;HDB9A</v>
      </c>
    </row>
    <row r="43" spans="1:7" ht="15" customHeight="1">
      <c r="A43" s="557" t="s">
        <v>142</v>
      </c>
      <c r="B43" s="44"/>
      <c r="C43" s="555">
        <v>255</v>
      </c>
      <c r="D43" s="555">
        <v>131</v>
      </c>
      <c r="E43" s="555">
        <v>250</v>
      </c>
      <c r="F43" s="552" t="str">
        <f>DEC2HEX(BITWISE_AND(((C43 * 249) + 1014), HEX2DEC("F800"))+BITWISE_AND(INT(((D43 * 253) + 505) / 32), HEX2DEC("07E0"))+INT(((E43 * 249) + 1014) / 2048),4)</f>
        <v>FC1E</v>
      </c>
      <c r="G43" t="str">
        <f>"Const Color_" &amp; A43 &amp; " = &amp;H" &amp; F43</f>
        <v>Const Color_orchid1 = &amp;HFC1E</v>
      </c>
    </row>
    <row r="44" spans="1:7" ht="15" customHeight="1">
      <c r="A44" s="557" t="s">
        <v>143</v>
      </c>
      <c r="B44" s="45"/>
      <c r="C44" s="555">
        <v>238</v>
      </c>
      <c r="D44" s="555">
        <v>122</v>
      </c>
      <c r="E44" s="555">
        <v>233</v>
      </c>
      <c r="F44" s="552" t="str">
        <f>DEC2HEX(BITWISE_AND(((C44 * 249) + 1014), HEX2DEC("F800"))+BITWISE_AND(INT(((D44 * 253) + 505) / 32), HEX2DEC("07E0"))+INT(((E44 * 249) + 1014) / 2048),4)</f>
        <v>EBDC</v>
      </c>
      <c r="G44" t="str">
        <f>"Const Color_" &amp; A44 &amp; " = &amp;H" &amp; F44</f>
        <v>Const Color_orchid2 = &amp;HEBDC</v>
      </c>
    </row>
    <row r="45" spans="1:7" ht="15" customHeight="1">
      <c r="A45" s="557" t="s">
        <v>144</v>
      </c>
      <c r="B45" s="46"/>
      <c r="C45" s="555">
        <v>205</v>
      </c>
      <c r="D45" s="555">
        <v>105</v>
      </c>
      <c r="E45" s="555">
        <v>201</v>
      </c>
      <c r="F45" s="552" t="str">
        <f>DEC2HEX(BITWISE_AND(((C45 * 249) + 1014), HEX2DEC("F800"))+BITWISE_AND(INT(((D45 * 253) + 505) / 32), HEX2DEC("07E0"))+INT(((E45 * 249) + 1014) / 2048),4)</f>
        <v>CB58</v>
      </c>
      <c r="G45" t="str">
        <f>"Const Color_" &amp; A45 &amp; " = &amp;H" &amp; F45</f>
        <v>Const Color_orchid3 = &amp;HCB58</v>
      </c>
    </row>
    <row r="46" spans="1:7" ht="15" customHeight="1">
      <c r="A46" s="557" t="s">
        <v>145</v>
      </c>
      <c r="B46" s="47"/>
      <c r="C46" s="555">
        <v>139</v>
      </c>
      <c r="D46" s="555">
        <v>71</v>
      </c>
      <c r="E46" s="555">
        <v>137</v>
      </c>
      <c r="F46" s="552" t="str">
        <f>DEC2HEX(BITWISE_AND(((C46 * 249) + 1014), HEX2DEC("F800"))+BITWISE_AND(INT(((D46 * 253) + 505) / 32), HEX2DEC("07E0"))+INT(((E46 * 249) + 1014) / 2048),4)</f>
        <v>8A51</v>
      </c>
      <c r="G46" t="str">
        <f>"Const Color_" &amp; A46 &amp; " = &amp;H" &amp; F46</f>
        <v>Const Color_orchid4 = &amp;H8A51</v>
      </c>
    </row>
    <row r="47" spans="1:7" ht="15" customHeight="1">
      <c r="A47" s="557" t="s">
        <v>12</v>
      </c>
      <c r="B47" s="48"/>
      <c r="C47" s="555">
        <v>216</v>
      </c>
      <c r="D47" s="555">
        <v>191</v>
      </c>
      <c r="E47" s="555">
        <v>216</v>
      </c>
      <c r="F47" s="552" t="str">
        <f>DEC2HEX(BITWISE_AND(((C47 * 249) + 1014), HEX2DEC("F800"))+BITWISE_AND(INT(((D47 * 253) + 505) / 32), HEX2DEC("07E0"))+INT(((E47 * 249) + 1014) / 2048),4)</f>
        <v>D5FA</v>
      </c>
      <c r="G47" t="str">
        <f>"Const Color_" &amp; A47 &amp; " = &amp;H" &amp; F47</f>
        <v>Const Color_thistle = &amp;HD5FA</v>
      </c>
    </row>
    <row r="48" spans="1:7" ht="15" customHeight="1">
      <c r="A48" s="557" t="s">
        <v>146</v>
      </c>
      <c r="B48" s="49"/>
      <c r="C48" s="555">
        <v>255</v>
      </c>
      <c r="D48" s="555">
        <v>225</v>
      </c>
      <c r="E48" s="555">
        <v>255</v>
      </c>
      <c r="F48" s="552" t="str">
        <f>DEC2HEX(BITWISE_AND(((C48 * 249) + 1014), HEX2DEC("F800"))+BITWISE_AND(INT(((D48 * 253) + 505) / 32), HEX2DEC("07E0"))+INT(((E48 * 249) + 1014) / 2048),4)</f>
        <v>FF1F</v>
      </c>
      <c r="G48" t="str">
        <f>"Const Color_" &amp; A48 &amp; " = &amp;H" &amp; F48</f>
        <v>Const Color_thistle1 = &amp;HFF1F</v>
      </c>
    </row>
    <row r="49" spans="1:7" ht="15" customHeight="1">
      <c r="A49" s="557" t="s">
        <v>147</v>
      </c>
      <c r="B49" s="50"/>
      <c r="C49" s="555">
        <v>238</v>
      </c>
      <c r="D49" s="555">
        <v>210</v>
      </c>
      <c r="E49" s="555">
        <v>238</v>
      </c>
      <c r="F49" s="552" t="str">
        <f>DEC2HEX(BITWISE_AND(((C49 * 249) + 1014), HEX2DEC("F800"))+BITWISE_AND(INT(((D49 * 253) + 505) / 32), HEX2DEC("07E0"))+INT(((E49 * 249) + 1014) / 2048),4)</f>
        <v>EE9D</v>
      </c>
      <c r="G49" t="str">
        <f>"Const Color_" &amp; A49 &amp; " = &amp;H" &amp; F49</f>
        <v>Const Color_thistle2 = &amp;HEE9D</v>
      </c>
    </row>
    <row r="50" spans="1:7" ht="15" customHeight="1">
      <c r="A50" s="557" t="s">
        <v>148</v>
      </c>
      <c r="B50" s="51"/>
      <c r="C50" s="555">
        <v>205</v>
      </c>
      <c r="D50" s="555">
        <v>181</v>
      </c>
      <c r="E50" s="555">
        <v>205</v>
      </c>
      <c r="F50" s="552" t="str">
        <f>DEC2HEX(BITWISE_AND(((C50 * 249) + 1014), HEX2DEC("F800"))+BITWISE_AND(INT(((D50 * 253) + 505) / 32), HEX2DEC("07E0"))+INT(((E50 * 249) + 1014) / 2048),4)</f>
        <v>CDB9</v>
      </c>
      <c r="G50" t="str">
        <f>"Const Color_" &amp; A50 &amp; " = &amp;H" &amp; F50</f>
        <v>Const Color_thistle3 = &amp;HCDB9</v>
      </c>
    </row>
    <row r="51" spans="1:7" ht="15" customHeight="1">
      <c r="A51" s="557" t="s">
        <v>149</v>
      </c>
      <c r="B51" s="52"/>
      <c r="C51" s="555">
        <v>139</v>
      </c>
      <c r="D51" s="555">
        <v>123</v>
      </c>
      <c r="E51" s="555">
        <v>139</v>
      </c>
      <c r="F51" s="552" t="str">
        <f>DEC2HEX(BITWISE_AND(((C51 * 249) + 1014), HEX2DEC("F800"))+BITWISE_AND(INT(((D51 * 253) + 505) / 32), HEX2DEC("07E0"))+INT(((E51 * 249) + 1014) / 2048),4)</f>
        <v>8BD1</v>
      </c>
      <c r="G51" t="str">
        <f>"Const Color_" &amp; A51 &amp; " = &amp;H" &amp; F51</f>
        <v>Const Color_thistle4 = &amp;H8BD1</v>
      </c>
    </row>
    <row r="52" spans="1:7" ht="15" customHeight="1">
      <c r="A52" s="557" t="s">
        <v>150</v>
      </c>
      <c r="B52" s="53"/>
      <c r="C52" s="555">
        <v>255</v>
      </c>
      <c r="D52" s="555">
        <v>187</v>
      </c>
      <c r="E52" s="555">
        <v>255</v>
      </c>
      <c r="F52" s="552" t="str">
        <f>DEC2HEX(BITWISE_AND(((C52 * 249) + 1014), HEX2DEC("F800"))+BITWISE_AND(INT(((D52 * 253) + 505) / 32), HEX2DEC("07E0"))+INT(((E52 * 249) + 1014) / 2048),4)</f>
        <v>FDDF</v>
      </c>
      <c r="G52" t="str">
        <f>"Const Color_" &amp; A52 &amp; " = &amp;H" &amp; F52</f>
        <v>Const Color_plum1 = &amp;HFDDF</v>
      </c>
    </row>
    <row r="53" spans="1:7" ht="15" customHeight="1">
      <c r="A53" s="557" t="s">
        <v>151</v>
      </c>
      <c r="B53" s="54"/>
      <c r="C53" s="555">
        <v>238</v>
      </c>
      <c r="D53" s="555">
        <v>174</v>
      </c>
      <c r="E53" s="555">
        <v>238</v>
      </c>
      <c r="F53" s="552" t="str">
        <f>DEC2HEX(BITWISE_AND(((C53 * 249) + 1014), HEX2DEC("F800"))+BITWISE_AND(INT(((D53 * 253) + 505) / 32), HEX2DEC("07E0"))+INT(((E53 * 249) + 1014) / 2048),4)</f>
        <v>ED7D</v>
      </c>
      <c r="G53" t="str">
        <f>"Const Color_" &amp; A53 &amp; " = &amp;H" &amp; F53</f>
        <v>Const Color_plum2 = &amp;HED7D</v>
      </c>
    </row>
    <row r="54" spans="1:7" ht="15" customHeight="1">
      <c r="A54" s="557" t="s">
        <v>152</v>
      </c>
      <c r="B54" s="55"/>
      <c r="C54" s="555">
        <v>205</v>
      </c>
      <c r="D54" s="555">
        <v>150</v>
      </c>
      <c r="E54" s="555">
        <v>205</v>
      </c>
      <c r="F54" s="552" t="str">
        <f>DEC2HEX(BITWISE_AND(((C54 * 249) + 1014), HEX2DEC("F800"))+BITWISE_AND(INT(((D54 * 253) + 505) / 32), HEX2DEC("07E0"))+INT(((E54 * 249) + 1014) / 2048),4)</f>
        <v>CCB9</v>
      </c>
      <c r="G54" t="str">
        <f>"Const Color_" &amp; A54 &amp; " = &amp;H" &amp; F54</f>
        <v>Const Color_plum3 = &amp;HCCB9</v>
      </c>
    </row>
    <row r="55" spans="1:7" ht="15" customHeight="1">
      <c r="A55" s="557" t="s">
        <v>153</v>
      </c>
      <c r="B55" s="56"/>
      <c r="C55" s="555">
        <v>139</v>
      </c>
      <c r="D55" s="555">
        <v>102</v>
      </c>
      <c r="E55" s="555">
        <v>139</v>
      </c>
      <c r="F55" s="552" t="str">
        <f>DEC2HEX(BITWISE_AND(((C55 * 249) + 1014), HEX2DEC("F800"))+BITWISE_AND(INT(((D55 * 253) + 505) / 32), HEX2DEC("07E0"))+INT(((E55 * 249) + 1014) / 2048),4)</f>
        <v>8B31</v>
      </c>
      <c r="G55" t="str">
        <f>"Const Color_" &amp; A55 &amp; " = &amp;H" &amp; F55</f>
        <v>Const Color_plum4 = &amp;H8B31</v>
      </c>
    </row>
    <row r="56" spans="1:7" ht="15" customHeight="1">
      <c r="A56" s="557" t="s">
        <v>13</v>
      </c>
      <c r="B56" s="57"/>
      <c r="C56" s="555">
        <v>221</v>
      </c>
      <c r="D56" s="555">
        <v>160</v>
      </c>
      <c r="E56" s="555">
        <v>221</v>
      </c>
      <c r="F56" s="552" t="str">
        <f>DEC2HEX(BITWISE_AND(((C56 * 249) + 1014), HEX2DEC("F800"))+BITWISE_AND(INT(((D56 * 253) + 505) / 32), HEX2DEC("07E0"))+INT(((E56 * 249) + 1014) / 2048),4)</f>
        <v>DD1B</v>
      </c>
      <c r="G56" t="str">
        <f>"Const Color_" &amp; A56 &amp; " = &amp;H" &amp; F56</f>
        <v>Const Color_plum = &amp;HDD1B</v>
      </c>
    </row>
    <row r="57" spans="1:7" ht="15" customHeight="1">
      <c r="A57" s="557" t="s">
        <v>14</v>
      </c>
      <c r="B57" s="58"/>
      <c r="C57" s="555">
        <v>238</v>
      </c>
      <c r="D57" s="555">
        <v>130</v>
      </c>
      <c r="E57" s="555">
        <v>238</v>
      </c>
      <c r="F57" s="552" t="str">
        <f>DEC2HEX(BITWISE_AND(((C57 * 249) + 1014), HEX2DEC("F800"))+BITWISE_AND(INT(((D57 * 253) + 505) / 32), HEX2DEC("07E0"))+INT(((E57 * 249) + 1014) / 2048),4)</f>
        <v>EC1D</v>
      </c>
      <c r="G57" t="str">
        <f>"Const Color_" &amp; A57 &amp; " = &amp;H" &amp; F57</f>
        <v>Const Color_violet = &amp;HEC1D</v>
      </c>
    </row>
    <row r="58" spans="1:7" ht="15" customHeight="1">
      <c r="A58" s="557" t="s">
        <v>497</v>
      </c>
      <c r="B58" s="59"/>
      <c r="C58" s="555">
        <v>255</v>
      </c>
      <c r="D58" s="555">
        <v>0</v>
      </c>
      <c r="E58" s="555">
        <v>255</v>
      </c>
      <c r="F58" s="552" t="str">
        <f>DEC2HEX(BITWISE_AND(((C58 * 249) + 1014), HEX2DEC("F800"))+BITWISE_AND(INT(((D58 * 253) + 505) / 32), HEX2DEC("07E0"))+INT(((E58 * 249) + 1014) / 2048),4)</f>
        <v>F81F</v>
      </c>
      <c r="G58" t="str">
        <f>"Const Color_" &amp; A58 &amp; " = &amp;H" &amp; F58</f>
        <v>Const Color_magenta = &amp;HF81F</v>
      </c>
    </row>
    <row r="59" spans="1:7" ht="15" customHeight="1">
      <c r="A59" s="557" t="s">
        <v>154</v>
      </c>
      <c r="B59" s="60"/>
      <c r="C59" s="555">
        <v>238</v>
      </c>
      <c r="D59" s="555">
        <v>0</v>
      </c>
      <c r="E59" s="555">
        <v>238</v>
      </c>
      <c r="F59" s="552" t="str">
        <f>DEC2HEX(BITWISE_AND(((C59 * 249) + 1014), HEX2DEC("F800"))+BITWISE_AND(INT(((D59 * 253) + 505) / 32), HEX2DEC("07E0"))+INT(((E59 * 249) + 1014) / 2048),4)</f>
        <v>E81D</v>
      </c>
      <c r="G59" t="str">
        <f>"Const Color_" &amp; A59 &amp; " = &amp;H" &amp; F59</f>
        <v>Const Color_magenta2 = &amp;HE81D</v>
      </c>
    </row>
    <row r="60" spans="1:7" ht="15" customHeight="1">
      <c r="A60" s="557" t="s">
        <v>155</v>
      </c>
      <c r="B60" s="61"/>
      <c r="C60" s="555">
        <v>205</v>
      </c>
      <c r="D60" s="555">
        <v>0</v>
      </c>
      <c r="E60" s="555">
        <v>205</v>
      </c>
      <c r="F60" s="552" t="str">
        <f>DEC2HEX(BITWISE_AND(((C60 * 249) + 1014), HEX2DEC("F800"))+BITWISE_AND(INT(((D60 * 253) + 505) / 32), HEX2DEC("07E0"))+INT(((E60 * 249) + 1014) / 2048),4)</f>
        <v>C819</v>
      </c>
      <c r="G60" t="str">
        <f>"Const Color_" &amp; A60 &amp; " = &amp;H" &amp; F60</f>
        <v>Const Color_magenta3 = &amp;HC819</v>
      </c>
    </row>
    <row r="61" spans="1:7" ht="15" customHeight="1">
      <c r="A61" s="557" t="s">
        <v>498</v>
      </c>
      <c r="B61" s="62"/>
      <c r="C61" s="555">
        <v>139</v>
      </c>
      <c r="D61" s="555">
        <v>0</v>
      </c>
      <c r="E61" s="555">
        <v>139</v>
      </c>
      <c r="F61" s="552" t="str">
        <f>DEC2HEX(BITWISE_AND(((C61 * 249) + 1014), HEX2DEC("F800"))+BITWISE_AND(INT(((D61 * 253) + 505) / 32), HEX2DEC("07E0"))+INT(((E61 * 249) + 1014) / 2048),4)</f>
        <v>8811</v>
      </c>
      <c r="G61" t="str">
        <f>"Const Color_" &amp; A61 &amp; " = &amp;H" &amp; F61</f>
        <v>Const Color_darkmagenta = &amp;H8811</v>
      </c>
    </row>
    <row r="62" spans="1:7" ht="15" customHeight="1">
      <c r="A62" s="557" t="s">
        <v>499</v>
      </c>
      <c r="B62" s="63"/>
      <c r="C62" s="555">
        <v>128</v>
      </c>
      <c r="D62" s="555">
        <v>0</v>
      </c>
      <c r="E62" s="555">
        <v>128</v>
      </c>
      <c r="F62" s="552" t="str">
        <f>DEC2HEX(BITWISE_AND(((C62 * 249) + 1014), HEX2DEC("F800"))+BITWISE_AND(INT(((D62 * 253) + 505) / 32), HEX2DEC("07E0"))+INT(((E62 * 249) + 1014) / 2048),4)</f>
        <v>8010</v>
      </c>
      <c r="G62" t="str">
        <f>"Const Color_" &amp; A62 &amp; " = &amp;H" &amp; F62</f>
        <v>Const Color_purple = &amp;H8010</v>
      </c>
    </row>
    <row r="63" spans="1:7" ht="15" customHeight="1">
      <c r="A63" s="557" t="s">
        <v>15</v>
      </c>
      <c r="B63" s="64"/>
      <c r="C63" s="555">
        <v>186</v>
      </c>
      <c r="D63" s="555">
        <v>85</v>
      </c>
      <c r="E63" s="555">
        <v>211</v>
      </c>
      <c r="F63" s="552" t="str">
        <f>DEC2HEX(BITWISE_AND(((C63 * 249) + 1014), HEX2DEC("F800"))+BITWISE_AND(INT(((D63 * 253) + 505) / 32), HEX2DEC("07E0"))+INT(((E63 * 249) + 1014) / 2048),4)</f>
        <v>BABA</v>
      </c>
      <c r="G63" t="str">
        <f>"Const Color_" &amp; A63 &amp; " = &amp;H" &amp; F63</f>
        <v>Const Color_mediumorchid = &amp;HBABA</v>
      </c>
    </row>
    <row r="64" spans="1:7" ht="15" customHeight="1">
      <c r="A64" s="557" t="s">
        <v>156</v>
      </c>
      <c r="B64" s="65"/>
      <c r="C64" s="555">
        <v>224</v>
      </c>
      <c r="D64" s="555">
        <v>102</v>
      </c>
      <c r="E64" s="555">
        <v>255</v>
      </c>
      <c r="F64" s="552" t="str">
        <f>DEC2HEX(BITWISE_AND(((C64 * 249) + 1014), HEX2DEC("F800"))+BITWISE_AND(INT(((D64 * 253) + 505) / 32), HEX2DEC("07E0"))+INT(((E64 * 249) + 1014) / 2048),4)</f>
        <v>DB3F</v>
      </c>
      <c r="G64" t="str">
        <f>"Const Color_" &amp; A64 &amp; " = &amp;H" &amp; F64</f>
        <v>Const Color_mediumorchid1 = &amp;HDB3F</v>
      </c>
    </row>
    <row r="65" spans="1:7" ht="15" customHeight="1">
      <c r="A65" s="557" t="s">
        <v>157</v>
      </c>
      <c r="B65" s="66"/>
      <c r="C65" s="555">
        <v>209</v>
      </c>
      <c r="D65" s="555">
        <v>95</v>
      </c>
      <c r="E65" s="555">
        <v>238</v>
      </c>
      <c r="F65" s="552" t="str">
        <f>DEC2HEX(BITWISE_AND(((C65 * 249) + 1014), HEX2DEC("F800"))+BITWISE_AND(INT(((D65 * 253) + 505) / 32), HEX2DEC("07E0"))+INT(((E65 * 249) + 1014) / 2048),4)</f>
        <v>CAFD</v>
      </c>
      <c r="G65" t="str">
        <f>"Const Color_" &amp; A65 &amp; " = &amp;H" &amp; F65</f>
        <v>Const Color_mediumorchid2 = &amp;HCAFD</v>
      </c>
    </row>
    <row r="66" spans="1:7" ht="15" customHeight="1">
      <c r="A66" s="557" t="s">
        <v>158</v>
      </c>
      <c r="B66" s="67"/>
      <c r="C66" s="555">
        <v>180</v>
      </c>
      <c r="D66" s="555">
        <v>82</v>
      </c>
      <c r="E66" s="555">
        <v>205</v>
      </c>
      <c r="F66" s="552" t="str">
        <f>DEC2HEX(BITWISE_AND(((C66 * 249) + 1014), HEX2DEC("F800"))+BITWISE_AND(INT(((D66 * 253) + 505) / 32), HEX2DEC("07E0"))+INT(((E66 * 249) + 1014) / 2048),4)</f>
        <v>B299</v>
      </c>
      <c r="G66" t="str">
        <f>"Const Color_" &amp; A66 &amp; " = &amp;H" &amp; F66</f>
        <v>Const Color_mediumorchid3 = &amp;HB299</v>
      </c>
    </row>
    <row r="67" spans="1:7" ht="15" customHeight="1">
      <c r="A67" s="557" t="s">
        <v>159</v>
      </c>
      <c r="B67" s="68"/>
      <c r="C67" s="555">
        <v>122</v>
      </c>
      <c r="D67" s="555">
        <v>55</v>
      </c>
      <c r="E67" s="555">
        <v>139</v>
      </c>
      <c r="F67" s="552" t="str">
        <f>DEC2HEX(BITWISE_AND(((C67 * 249) + 1014), HEX2DEC("F800"))+BITWISE_AND(INT(((D67 * 253) + 505) / 32), HEX2DEC("07E0"))+INT(((E67 * 249) + 1014) / 2048),4)</f>
        <v>79D1</v>
      </c>
      <c r="G67" t="str">
        <f>"Const Color_" &amp; A67 &amp; " = &amp;H" &amp; F67</f>
        <v>Const Color_mediumorchid4 = &amp;H79D1</v>
      </c>
    </row>
    <row r="68" spans="1:7" ht="15" customHeight="1">
      <c r="A68" s="557" t="s">
        <v>16</v>
      </c>
      <c r="B68" s="69"/>
      <c r="C68" s="555">
        <v>148</v>
      </c>
      <c r="D68" s="555">
        <v>0</v>
      </c>
      <c r="E68" s="555">
        <v>211</v>
      </c>
      <c r="F68" s="552" t="str">
        <f>DEC2HEX(BITWISE_AND(((C68 * 249) + 1014), HEX2DEC("F800"))+BITWISE_AND(INT(((D68 * 253) + 505) / 32), HEX2DEC("07E0"))+INT(((E68 * 249) + 1014) / 2048),4)</f>
        <v>901A</v>
      </c>
      <c r="G68" t="str">
        <f>"Const Color_" &amp; A68 &amp; " = &amp;H" &amp; F68</f>
        <v>Const Color_darkviolet = &amp;H901A</v>
      </c>
    </row>
    <row r="69" spans="1:7" ht="15" customHeight="1">
      <c r="A69" s="557" t="s">
        <v>17</v>
      </c>
      <c r="B69" s="70"/>
      <c r="C69" s="555">
        <v>153</v>
      </c>
      <c r="D69" s="555">
        <v>50</v>
      </c>
      <c r="E69" s="555">
        <v>204</v>
      </c>
      <c r="F69" s="552" t="str">
        <f>DEC2HEX(BITWISE_AND(((C69 * 249) + 1014), HEX2DEC("F800"))+BITWISE_AND(INT(((D69 * 253) + 505) / 32), HEX2DEC("07E0"))+INT(((E69 * 249) + 1014) / 2048),4)</f>
        <v>9999</v>
      </c>
      <c r="G69" t="str">
        <f>"Const Color_" &amp; A69 &amp; " = &amp;H" &amp; F69</f>
        <v>Const Color_darkorchid = &amp;H9999</v>
      </c>
    </row>
    <row r="70" spans="1:7" ht="15" customHeight="1">
      <c r="A70" s="557" t="s">
        <v>160</v>
      </c>
      <c r="B70" s="71"/>
      <c r="C70" s="555">
        <v>191</v>
      </c>
      <c r="D70" s="555">
        <v>62</v>
      </c>
      <c r="E70" s="555">
        <v>255</v>
      </c>
      <c r="F70" s="552" t="str">
        <f>DEC2HEX(BITWISE_AND(((C70 * 249) + 1014), HEX2DEC("F800"))+BITWISE_AND(INT(((D70 * 253) + 505) / 32), HEX2DEC("07E0"))+INT(((E70 * 249) + 1014) / 2048),4)</f>
        <v>B9FF</v>
      </c>
      <c r="G70" t="str">
        <f>"Const Color_" &amp; A70 &amp; " = &amp;H" &amp; F70</f>
        <v>Const Color_darkorchid1 = &amp;HB9FF</v>
      </c>
    </row>
    <row r="71" spans="1:7" ht="15" customHeight="1">
      <c r="A71" s="557" t="s">
        <v>161</v>
      </c>
      <c r="B71" s="72"/>
      <c r="C71" s="555">
        <v>178</v>
      </c>
      <c r="D71" s="555">
        <v>58</v>
      </c>
      <c r="E71" s="555">
        <v>238</v>
      </c>
      <c r="F71" s="552" t="str">
        <f>DEC2HEX(BITWISE_AND(((C71 * 249) + 1014), HEX2DEC("F800"))+BITWISE_AND(INT(((D71 * 253) + 505) / 32), HEX2DEC("07E0"))+INT(((E71 * 249) + 1014) / 2048),4)</f>
        <v>B1DD</v>
      </c>
      <c r="G71" t="str">
        <f>"Const Color_" &amp; A71 &amp; " = &amp;H" &amp; F71</f>
        <v>Const Color_darkorchid2 = &amp;HB1DD</v>
      </c>
    </row>
    <row r="72" spans="1:7" ht="15" customHeight="1">
      <c r="A72" s="557" t="s">
        <v>162</v>
      </c>
      <c r="B72" s="73"/>
      <c r="C72" s="555">
        <v>154</v>
      </c>
      <c r="D72" s="555">
        <v>50</v>
      </c>
      <c r="E72" s="555">
        <v>205</v>
      </c>
      <c r="F72" s="552" t="str">
        <f>DEC2HEX(BITWISE_AND(((C72 * 249) + 1014), HEX2DEC("F800"))+BITWISE_AND(INT(((D72 * 253) + 505) / 32), HEX2DEC("07E0"))+INT(((E72 * 249) + 1014) / 2048),4)</f>
        <v>9999</v>
      </c>
      <c r="G72" t="str">
        <f>"Const Color_" &amp; A72 &amp; " = &amp;H" &amp; F72</f>
        <v>Const Color_darkorchid3 = &amp;H9999</v>
      </c>
    </row>
    <row r="73" spans="1:7" ht="15" customHeight="1">
      <c r="A73" s="557" t="s">
        <v>163</v>
      </c>
      <c r="B73" s="74"/>
      <c r="C73" s="555">
        <v>104</v>
      </c>
      <c r="D73" s="555">
        <v>34</v>
      </c>
      <c r="E73" s="555">
        <v>139</v>
      </c>
      <c r="F73" s="552" t="str">
        <f>DEC2HEX(BITWISE_AND(((C73 * 249) + 1014), HEX2DEC("F800"))+BITWISE_AND(INT(((D73 * 253) + 505) / 32), HEX2DEC("07E0"))+INT(((E73 * 249) + 1014) / 2048),4)</f>
        <v>6911</v>
      </c>
      <c r="G73" t="str">
        <f>"Const Color_" &amp; A73 &amp; " = &amp;H" &amp; F73</f>
        <v>Const Color_darkorchid4 = &amp;H6911</v>
      </c>
    </row>
    <row r="74" spans="1:7" ht="15" customHeight="1">
      <c r="A74" s="557" t="s">
        <v>18</v>
      </c>
      <c r="B74" s="75"/>
      <c r="C74" s="555">
        <v>75</v>
      </c>
      <c r="D74" s="555">
        <v>0</v>
      </c>
      <c r="E74" s="555">
        <v>130</v>
      </c>
      <c r="F74" s="552" t="str">
        <f>DEC2HEX(BITWISE_AND(((C74 * 249) + 1014), HEX2DEC("F800"))+BITWISE_AND(INT(((D74 * 253) + 505) / 32), HEX2DEC("07E0"))+INT(((E74 * 249) + 1014) / 2048),4)</f>
        <v>4810</v>
      </c>
      <c r="G74" t="str">
        <f>"Const Color_" &amp; A74 &amp; " = &amp;H" &amp; F74</f>
        <v>Const Color_indigo = &amp;H4810</v>
      </c>
    </row>
    <row r="75" spans="1:7" ht="15" customHeight="1">
      <c r="A75" s="557" t="s">
        <v>19</v>
      </c>
      <c r="B75" s="76"/>
      <c r="C75" s="555">
        <v>138</v>
      </c>
      <c r="D75" s="555">
        <v>43</v>
      </c>
      <c r="E75" s="555">
        <v>226</v>
      </c>
      <c r="F75" s="552" t="str">
        <f>DEC2HEX(BITWISE_AND(((C75 * 249) + 1014), HEX2DEC("F800"))+BITWISE_AND(INT(((D75 * 253) + 505) / 32), HEX2DEC("07E0"))+INT(((E75 * 249) + 1014) / 2048),4)</f>
        <v>897B</v>
      </c>
      <c r="G75" t="str">
        <f>"Const Color_" &amp; A75 &amp; " = &amp;H" &amp; F75</f>
        <v>Const Color_blueviolet = &amp;H897B</v>
      </c>
    </row>
    <row r="76" spans="1:7" ht="15" customHeight="1">
      <c r="A76" s="557" t="s">
        <v>164</v>
      </c>
      <c r="B76" s="77"/>
      <c r="C76" s="555">
        <v>155</v>
      </c>
      <c r="D76" s="555">
        <v>48</v>
      </c>
      <c r="E76" s="555">
        <v>255</v>
      </c>
      <c r="F76" s="552" t="str">
        <f>DEC2HEX(BITWISE_AND(((C76 * 249) + 1014), HEX2DEC("F800"))+BITWISE_AND(INT(((D76 * 253) + 505) / 32), HEX2DEC("07E0"))+INT(((E76 * 249) + 1014) / 2048),4)</f>
        <v>999F</v>
      </c>
      <c r="G76" t="str">
        <f>"Const Color_" &amp; A76 &amp; " = &amp;H" &amp; F76</f>
        <v>Const Color_purple1 = &amp;H999F</v>
      </c>
    </row>
    <row r="77" spans="1:7" ht="15" customHeight="1">
      <c r="A77" s="557" t="s">
        <v>165</v>
      </c>
      <c r="B77" s="78"/>
      <c r="C77" s="555">
        <v>145</v>
      </c>
      <c r="D77" s="555">
        <v>44</v>
      </c>
      <c r="E77" s="555">
        <v>238</v>
      </c>
      <c r="F77" s="552" t="str">
        <f>DEC2HEX(BITWISE_AND(((C77 * 249) + 1014), HEX2DEC("F800"))+BITWISE_AND(INT(((D77 * 253) + 505) / 32), HEX2DEC("07E0"))+INT(((E77 * 249) + 1014) / 2048),4)</f>
        <v>917D</v>
      </c>
      <c r="G77" t="str">
        <f>"Const Color_" &amp; A77 &amp; " = &amp;H" &amp; F77</f>
        <v>Const Color_purple2 = &amp;H917D</v>
      </c>
    </row>
    <row r="78" spans="1:7" ht="15" customHeight="1">
      <c r="A78" s="557" t="s">
        <v>166</v>
      </c>
      <c r="B78" s="79"/>
      <c r="C78" s="555">
        <v>125</v>
      </c>
      <c r="D78" s="555">
        <v>38</v>
      </c>
      <c r="E78" s="555">
        <v>205</v>
      </c>
      <c r="F78" s="552" t="str">
        <f>DEC2HEX(BITWISE_AND(((C78 * 249) + 1014), HEX2DEC("F800"))+BITWISE_AND(INT(((D78 * 253) + 505) / 32), HEX2DEC("07E0"))+INT(((E78 * 249) + 1014) / 2048),4)</f>
        <v>7939</v>
      </c>
      <c r="G78" t="str">
        <f>"Const Color_" &amp; A78 &amp; " = &amp;H" &amp; F78</f>
        <v>Const Color_purple3 = &amp;H7939</v>
      </c>
    </row>
    <row r="79" spans="1:7" ht="15" customHeight="1">
      <c r="A79" s="557" t="s">
        <v>167</v>
      </c>
      <c r="B79" s="80"/>
      <c r="C79" s="555">
        <v>85</v>
      </c>
      <c r="D79" s="555">
        <v>26</v>
      </c>
      <c r="E79" s="555">
        <v>139</v>
      </c>
      <c r="F79" s="552" t="str">
        <f>DEC2HEX(BITWISE_AND(((C79 * 249) + 1014), HEX2DEC("F800"))+BITWISE_AND(INT(((D79 * 253) + 505) / 32), HEX2DEC("07E0"))+INT(((E79 * 249) + 1014) / 2048),4)</f>
        <v>50D1</v>
      </c>
      <c r="G79" t="str">
        <f>"Const Color_" &amp; A79 &amp; " = &amp;H" &amp; F79</f>
        <v>Const Color_purple4 = &amp;H50D1</v>
      </c>
    </row>
    <row r="80" spans="1:7" ht="15" customHeight="1">
      <c r="A80" s="557" t="s">
        <v>20</v>
      </c>
      <c r="B80" s="81"/>
      <c r="C80" s="555">
        <v>147</v>
      </c>
      <c r="D80" s="555">
        <v>112</v>
      </c>
      <c r="E80" s="555">
        <v>219</v>
      </c>
      <c r="F80" s="552" t="str">
        <f>DEC2HEX(BITWISE_AND(((C80 * 249) + 1014), HEX2DEC("F800"))+BITWISE_AND(INT(((D80 * 253) + 505) / 32), HEX2DEC("07E0"))+INT(((E80 * 249) + 1014) / 2048),4)</f>
        <v>939B</v>
      </c>
      <c r="G80" t="str">
        <f>"Const Color_" &amp; A80 &amp; " = &amp;H" &amp; F80</f>
        <v>Const Color_mediumpurple = &amp;H939B</v>
      </c>
    </row>
    <row r="81" spans="1:7" ht="15" customHeight="1">
      <c r="A81" s="557" t="s">
        <v>168</v>
      </c>
      <c r="B81" s="82"/>
      <c r="C81" s="555">
        <v>171</v>
      </c>
      <c r="D81" s="555">
        <v>130</v>
      </c>
      <c r="E81" s="555">
        <v>255</v>
      </c>
      <c r="F81" s="552" t="str">
        <f>DEC2HEX(BITWISE_AND(((C81 * 249) + 1014), HEX2DEC("F800"))+BITWISE_AND(INT(((D81 * 253) + 505) / 32), HEX2DEC("07E0"))+INT(((E81 * 249) + 1014) / 2048),4)</f>
        <v>AC1F</v>
      </c>
      <c r="G81" t="str">
        <f>"Const Color_" &amp; A81 &amp; " = &amp;H" &amp; F81</f>
        <v>Const Color_mediumpurple1 = &amp;HAC1F</v>
      </c>
    </row>
    <row r="82" spans="1:7" ht="15" customHeight="1">
      <c r="A82" s="557" t="s">
        <v>169</v>
      </c>
      <c r="B82" s="83"/>
      <c r="C82" s="555">
        <v>159</v>
      </c>
      <c r="D82" s="555">
        <v>121</v>
      </c>
      <c r="E82" s="555">
        <v>238</v>
      </c>
      <c r="F82" s="552" t="str">
        <f>DEC2HEX(BITWISE_AND(((C82 * 249) + 1014), HEX2DEC("F800"))+BITWISE_AND(INT(((D82 * 253) + 505) / 32), HEX2DEC("07E0"))+INT(((E82 * 249) + 1014) / 2048),4)</f>
        <v>9BDD</v>
      </c>
      <c r="G82" t="str">
        <f>"Const Color_" &amp; A82 &amp; " = &amp;H" &amp; F82</f>
        <v>Const Color_mediumpurple2 = &amp;H9BDD</v>
      </c>
    </row>
    <row r="83" spans="1:7" ht="15" customHeight="1">
      <c r="A83" s="557" t="s">
        <v>170</v>
      </c>
      <c r="B83" s="84"/>
      <c r="C83" s="555">
        <v>137</v>
      </c>
      <c r="D83" s="555">
        <v>104</v>
      </c>
      <c r="E83" s="555">
        <v>205</v>
      </c>
      <c r="F83" s="552" t="str">
        <f>DEC2HEX(BITWISE_AND(((C83 * 249) + 1014), HEX2DEC("F800"))+BITWISE_AND(INT(((D83 * 253) + 505) / 32), HEX2DEC("07E0"))+INT(((E83 * 249) + 1014) / 2048),4)</f>
        <v>8B59</v>
      </c>
      <c r="G83" t="str">
        <f>"Const Color_" &amp; A83 &amp; " = &amp;H" &amp; F83</f>
        <v>Const Color_mediumpurple3 = &amp;H8B59</v>
      </c>
    </row>
    <row r="84" spans="1:7" ht="15" customHeight="1">
      <c r="A84" s="557" t="s">
        <v>171</v>
      </c>
      <c r="B84" s="85"/>
      <c r="C84" s="555">
        <v>93</v>
      </c>
      <c r="D84" s="555">
        <v>71</v>
      </c>
      <c r="E84" s="555">
        <v>139</v>
      </c>
      <c r="F84" s="552" t="str">
        <f>DEC2HEX(BITWISE_AND(((C84 * 249) + 1014), HEX2DEC("F800"))+BITWISE_AND(INT(((D84 * 253) + 505) / 32), HEX2DEC("07E0"))+INT(((E84 * 249) + 1014) / 2048),4)</f>
        <v>5A51</v>
      </c>
      <c r="G84" t="str">
        <f>"Const Color_" &amp; A84 &amp; " = &amp;H" &amp; F84</f>
        <v>Const Color_mediumpurple4 = &amp;H5A51</v>
      </c>
    </row>
    <row r="85" spans="1:7" ht="15" customHeight="1">
      <c r="A85" s="557" t="s">
        <v>21</v>
      </c>
      <c r="B85" s="86"/>
      <c r="C85" s="555">
        <v>72</v>
      </c>
      <c r="D85" s="555">
        <v>61</v>
      </c>
      <c r="E85" s="555">
        <v>139</v>
      </c>
      <c r="F85" s="552" t="str">
        <f>DEC2HEX(BITWISE_AND(((C85 * 249) + 1014), HEX2DEC("F800"))+BITWISE_AND(INT(((D85 * 253) + 505) / 32), HEX2DEC("07E0"))+INT(((E85 * 249) + 1014) / 2048),4)</f>
        <v>49F1</v>
      </c>
      <c r="G85" t="str">
        <f>"Const Color_" &amp; A85 &amp; " = &amp;H" &amp; F85</f>
        <v>Const Color_darkslateblue = &amp;H49F1</v>
      </c>
    </row>
    <row r="86" spans="1:7" ht="15" customHeight="1">
      <c r="A86" s="557" t="s">
        <v>22</v>
      </c>
      <c r="B86" s="87"/>
      <c r="C86" s="555">
        <v>132</v>
      </c>
      <c r="D86" s="555">
        <v>112</v>
      </c>
      <c r="E86" s="555">
        <v>255</v>
      </c>
      <c r="F86" s="552" t="str">
        <f>DEC2HEX(BITWISE_AND(((C86 * 249) + 1014), HEX2DEC("F800"))+BITWISE_AND(INT(((D86 * 253) + 505) / 32), HEX2DEC("07E0"))+INT(((E86 * 249) + 1014) / 2048),4)</f>
        <v>839F</v>
      </c>
      <c r="G86" t="str">
        <f>"Const Color_" &amp; A86 &amp; " = &amp;H" &amp; F86</f>
        <v>Const Color_lightslateblue = &amp;H839F</v>
      </c>
    </row>
    <row r="87" spans="1:7" ht="15" customHeight="1">
      <c r="A87" s="557" t="s">
        <v>23</v>
      </c>
      <c r="B87" s="88"/>
      <c r="C87" s="555">
        <v>123</v>
      </c>
      <c r="D87" s="555">
        <v>104</v>
      </c>
      <c r="E87" s="555">
        <v>238</v>
      </c>
      <c r="F87" s="552" t="str">
        <f>DEC2HEX(BITWISE_AND(((C87 * 249) + 1014), HEX2DEC("F800"))+BITWISE_AND(INT(((D87 * 253) + 505) / 32), HEX2DEC("07E0"))+INT(((E87 * 249) + 1014) / 2048),4)</f>
        <v>7B5D</v>
      </c>
      <c r="G87" t="str">
        <f>"Const Color_" &amp; A87 &amp; " = &amp;H" &amp; F87</f>
        <v>Const Color_mediumslateblue = &amp;H7B5D</v>
      </c>
    </row>
    <row r="88" spans="1:7" ht="15" customHeight="1">
      <c r="A88" s="557" t="s">
        <v>24</v>
      </c>
      <c r="B88" s="89"/>
      <c r="C88" s="555">
        <v>106</v>
      </c>
      <c r="D88" s="555">
        <v>90</v>
      </c>
      <c r="E88" s="555">
        <v>205</v>
      </c>
      <c r="F88" s="552" t="str">
        <f>DEC2HEX(BITWISE_AND(((C88 * 249) + 1014), HEX2DEC("F800"))+BITWISE_AND(INT(((D88 * 253) + 505) / 32), HEX2DEC("07E0"))+INT(((E88 * 249) + 1014) / 2048),4)</f>
        <v>6AD9</v>
      </c>
      <c r="G88" t="str">
        <f>"Const Color_" &amp; A88 &amp; " = &amp;H" &amp; F88</f>
        <v>Const Color_slateblue = &amp;H6AD9</v>
      </c>
    </row>
    <row r="89" spans="1:7" ht="15" customHeight="1">
      <c r="A89" s="557" t="s">
        <v>172</v>
      </c>
      <c r="B89" s="90"/>
      <c r="C89" s="555">
        <v>131</v>
      </c>
      <c r="D89" s="555">
        <v>111</v>
      </c>
      <c r="E89" s="555">
        <v>255</v>
      </c>
      <c r="F89" s="552" t="str">
        <f>DEC2HEX(BITWISE_AND(((C89 * 249) + 1014), HEX2DEC("F800"))+BITWISE_AND(INT(((D89 * 253) + 505) / 32), HEX2DEC("07E0"))+INT(((E89 * 249) + 1014) / 2048),4)</f>
        <v>837F</v>
      </c>
      <c r="G89" t="str">
        <f>"Const Color_" &amp; A89 &amp; " = &amp;H" &amp; F89</f>
        <v>Const Color_slateblue1 = &amp;H837F</v>
      </c>
    </row>
    <row r="90" spans="1:7" ht="15" customHeight="1">
      <c r="A90" s="557" t="s">
        <v>173</v>
      </c>
      <c r="B90" s="91"/>
      <c r="C90" s="555">
        <v>122</v>
      </c>
      <c r="D90" s="555">
        <v>103</v>
      </c>
      <c r="E90" s="555">
        <v>238</v>
      </c>
      <c r="F90" s="552" t="str">
        <f>DEC2HEX(BITWISE_AND(((C90 * 249) + 1014), HEX2DEC("F800"))+BITWISE_AND(INT(((D90 * 253) + 505) / 32), HEX2DEC("07E0"))+INT(((E90 * 249) + 1014) / 2048),4)</f>
        <v>7B3D</v>
      </c>
      <c r="G90" t="str">
        <f>"Const Color_" &amp; A90 &amp; " = &amp;H" &amp; F90</f>
        <v>Const Color_slateblue2 = &amp;H7B3D</v>
      </c>
    </row>
    <row r="91" spans="1:7" ht="15" customHeight="1">
      <c r="A91" s="557" t="s">
        <v>174</v>
      </c>
      <c r="B91" s="92"/>
      <c r="C91" s="555">
        <v>105</v>
      </c>
      <c r="D91" s="555">
        <v>89</v>
      </c>
      <c r="E91" s="555">
        <v>205</v>
      </c>
      <c r="F91" s="552" t="str">
        <f>DEC2HEX(BITWISE_AND(((C91 * 249) + 1014), HEX2DEC("F800"))+BITWISE_AND(INT(((D91 * 253) + 505) / 32), HEX2DEC("07E0"))+INT(((E91 * 249) + 1014) / 2048),4)</f>
        <v>6AD9</v>
      </c>
      <c r="G91" t="str">
        <f>"Const Color_" &amp; A91 &amp; " = &amp;H" &amp; F91</f>
        <v>Const Color_slateblue3 = &amp;H6AD9</v>
      </c>
    </row>
    <row r="92" spans="1:7" ht="15" customHeight="1">
      <c r="A92" s="557" t="s">
        <v>175</v>
      </c>
      <c r="B92" s="93"/>
      <c r="C92" s="555">
        <v>71</v>
      </c>
      <c r="D92" s="555">
        <v>60</v>
      </c>
      <c r="E92" s="555">
        <v>139</v>
      </c>
      <c r="F92" s="552" t="str">
        <f>DEC2HEX(BITWISE_AND(((C92 * 249) + 1014), HEX2DEC("F800"))+BITWISE_AND(INT(((D92 * 253) + 505) / 32), HEX2DEC("07E0"))+INT(((E92 * 249) + 1014) / 2048),4)</f>
        <v>49F1</v>
      </c>
      <c r="G92" t="str">
        <f>"Const Color_" &amp; A92 &amp; " = &amp;H" &amp; F92</f>
        <v>Const Color_slateblue4 = &amp;H49F1</v>
      </c>
    </row>
    <row r="93" spans="1:7" ht="15" customHeight="1">
      <c r="A93" s="557" t="s">
        <v>25</v>
      </c>
      <c r="B93" s="94"/>
      <c r="C93" s="555">
        <v>248</v>
      </c>
      <c r="D93" s="555">
        <v>248</v>
      </c>
      <c r="E93" s="555">
        <v>255</v>
      </c>
      <c r="F93" s="552" t="str">
        <f>DEC2HEX(BITWISE_AND(((C93 * 249) + 1014), HEX2DEC("F800"))+BITWISE_AND(INT(((D93 * 253) + 505) / 32), HEX2DEC("07E0"))+INT(((E93 * 249) + 1014) / 2048),4)</f>
        <v>F7BF</v>
      </c>
      <c r="G93" t="str">
        <f>"Const Color_" &amp; A93 &amp; " = &amp;H" &amp; F93</f>
        <v>Const Color_ghostwhite = &amp;HF7BF</v>
      </c>
    </row>
    <row r="94" spans="1:7" ht="15" customHeight="1">
      <c r="A94" s="557" t="s">
        <v>26</v>
      </c>
      <c r="B94" s="95"/>
      <c r="C94" s="555">
        <v>230</v>
      </c>
      <c r="D94" s="555">
        <v>230</v>
      </c>
      <c r="E94" s="555">
        <v>250</v>
      </c>
      <c r="F94" s="552" t="str">
        <f>DEC2HEX(BITWISE_AND(((C94 * 249) + 1014), HEX2DEC("F800"))+BITWISE_AND(INT(((D94 * 253) + 505) / 32), HEX2DEC("07E0"))+INT(((E94 * 249) + 1014) / 2048),4)</f>
        <v>E73E</v>
      </c>
      <c r="G94" t="str">
        <f>"Const Color_" &amp; A94 &amp; " = &amp;H" &amp; F94</f>
        <v>Const Color_lavender = &amp;HE73E</v>
      </c>
    </row>
    <row r="95" spans="1:7" ht="15" customHeight="1">
      <c r="A95" s="557" t="s">
        <v>500</v>
      </c>
      <c r="B95" s="96"/>
      <c r="C95" s="555">
        <v>0</v>
      </c>
      <c r="D95" s="555">
        <v>0</v>
      </c>
      <c r="E95" s="555">
        <v>255</v>
      </c>
      <c r="F95" s="552" t="str">
        <f>DEC2HEX(BITWISE_AND(((C95 * 249) + 1014), HEX2DEC("F800"))+BITWISE_AND(INT(((D95 * 253) + 505) / 32), HEX2DEC("07E0"))+INT(((E95 * 249) + 1014) / 2048),4)</f>
        <v>001F</v>
      </c>
      <c r="G95" t="str">
        <f>"Const Color_" &amp; A95 &amp; " = &amp;H" &amp; F95</f>
        <v>Const Color_blue = &amp;H001F</v>
      </c>
    </row>
    <row r="96" spans="1:7" ht="15" customHeight="1">
      <c r="A96" s="557" t="s">
        <v>176</v>
      </c>
      <c r="B96" s="97"/>
      <c r="C96" s="555">
        <v>0</v>
      </c>
      <c r="D96" s="555">
        <v>0</v>
      </c>
      <c r="E96" s="555">
        <v>238</v>
      </c>
      <c r="F96" s="552" t="str">
        <f>DEC2HEX(BITWISE_AND(((C96 * 249) + 1014), HEX2DEC("F800"))+BITWISE_AND(INT(((D96 * 253) + 505) / 32), HEX2DEC("07E0"))+INT(((E96 * 249) + 1014) / 2048),4)</f>
        <v>001D</v>
      </c>
      <c r="G96" t="str">
        <f>"Const Color_" &amp; A96 &amp; " = &amp;H" &amp; F96</f>
        <v>Const Color_blue2 = &amp;H001D</v>
      </c>
    </row>
    <row r="97" spans="1:7" ht="15" customHeight="1">
      <c r="A97" s="557" t="s">
        <v>502</v>
      </c>
      <c r="B97" s="98"/>
      <c r="C97" s="555">
        <v>0</v>
      </c>
      <c r="D97" s="555">
        <v>0</v>
      </c>
      <c r="E97" s="555">
        <v>205</v>
      </c>
      <c r="F97" s="552" t="str">
        <f>DEC2HEX(BITWISE_AND(((C97 * 249) + 1014), HEX2DEC("F800"))+BITWISE_AND(INT(((D97 * 253) + 505) / 32), HEX2DEC("07E0"))+INT(((E97 * 249) + 1014) / 2048),4)</f>
        <v>0019</v>
      </c>
      <c r="G97" t="str">
        <f>"Const Color_" &amp; A97 &amp; " = &amp;H" &amp; F97</f>
        <v>Const Color_mediumblue = &amp;H0019</v>
      </c>
    </row>
    <row r="98" spans="1:7" ht="15" customHeight="1">
      <c r="A98" s="557" t="s">
        <v>503</v>
      </c>
      <c r="B98" s="99"/>
      <c r="C98" s="555">
        <v>0</v>
      </c>
      <c r="D98" s="555">
        <v>0</v>
      </c>
      <c r="E98" s="555">
        <v>139</v>
      </c>
      <c r="F98" s="552" t="str">
        <f>DEC2HEX(BITWISE_AND(((C98 * 249) + 1014), HEX2DEC("F800"))+BITWISE_AND(INT(((D98 * 253) + 505) / 32), HEX2DEC("07E0"))+INT(((E98 * 249) + 1014) / 2048),4)</f>
        <v>0011</v>
      </c>
      <c r="G98" t="str">
        <f>"Const Color_" &amp; A98 &amp; " = &amp;H" &amp; F98</f>
        <v>Const Color_darkblue = &amp;H0011</v>
      </c>
    </row>
    <row r="99" spans="1:7" ht="15" customHeight="1">
      <c r="A99" s="557" t="s">
        <v>501</v>
      </c>
      <c r="B99" s="100"/>
      <c r="C99" s="555">
        <v>0</v>
      </c>
      <c r="D99" s="555">
        <v>0</v>
      </c>
      <c r="E99" s="555">
        <v>128</v>
      </c>
      <c r="F99" s="552" t="str">
        <f>DEC2HEX(BITWISE_AND(((C99 * 249) + 1014), HEX2DEC("F800"))+BITWISE_AND(INT(((D99 * 253) + 505) / 32), HEX2DEC("07E0"))+INT(((E99 * 249) + 1014) / 2048),4)</f>
        <v>0010</v>
      </c>
      <c r="G99" t="str">
        <f>"Const Color_" &amp; A99 &amp; " = &amp;H" &amp; F99</f>
        <v>Const Color_navy = &amp;H0010</v>
      </c>
    </row>
    <row r="100" spans="1:7" ht="15" customHeight="1">
      <c r="A100" s="557" t="s">
        <v>27</v>
      </c>
      <c r="B100" s="101"/>
      <c r="C100" s="555">
        <v>25</v>
      </c>
      <c r="D100" s="555">
        <v>25</v>
      </c>
      <c r="E100" s="555">
        <v>112</v>
      </c>
      <c r="F100" s="552" t="str">
        <f>DEC2HEX(BITWISE_AND(((C100 * 249) + 1014), HEX2DEC("F800"))+BITWISE_AND(INT(((D100 * 253) + 505) / 32), HEX2DEC("07E0"))+INT(((E100 * 249) + 1014) / 2048),4)</f>
        <v>18CE</v>
      </c>
      <c r="G100" t="str">
        <f>"Const Color_" &amp; A100 &amp; " = &amp;H" &amp; F100</f>
        <v>Const Color_midnightblue = &amp;H18CE</v>
      </c>
    </row>
    <row r="101" spans="1:7" ht="15" customHeight="1">
      <c r="A101" s="557" t="s">
        <v>28</v>
      </c>
      <c r="B101" s="102"/>
      <c r="C101" s="555">
        <v>61</v>
      </c>
      <c r="D101" s="555">
        <v>89</v>
      </c>
      <c r="E101" s="555">
        <v>171</v>
      </c>
      <c r="F101" s="552" t="str">
        <f>DEC2HEX(BITWISE_AND(((C101 * 249) + 1014), HEX2DEC("F800"))+BITWISE_AND(INT(((D101 * 253) + 505) / 32), HEX2DEC("07E0"))+INT(((E101 * 249) + 1014) / 2048),4)</f>
        <v>3AD5</v>
      </c>
      <c r="G101" t="str">
        <f>"Const Color_" &amp; A101 &amp; " = &amp;H" &amp; F101</f>
        <v>Const Color_cobalt = &amp;H3AD5</v>
      </c>
    </row>
    <row r="102" spans="1:7" ht="15" customHeight="1">
      <c r="A102" s="557" t="s">
        <v>29</v>
      </c>
      <c r="B102" s="103"/>
      <c r="C102" s="555">
        <v>65</v>
      </c>
      <c r="D102" s="555">
        <v>105</v>
      </c>
      <c r="E102" s="555">
        <v>225</v>
      </c>
      <c r="F102" s="552" t="str">
        <f>DEC2HEX(BITWISE_AND(((C102 * 249) + 1014), HEX2DEC("F800"))+BITWISE_AND(INT(((D102 * 253) + 505) / 32), HEX2DEC("07E0"))+INT(((E102 * 249) + 1014) / 2048),4)</f>
        <v>435B</v>
      </c>
      <c r="G102" t="str">
        <f>"Const Color_" &amp; A102 &amp; " = &amp;H" &amp; F102</f>
        <v>Const Color_royalblue = &amp;H435B</v>
      </c>
    </row>
    <row r="103" spans="1:7" ht="15" customHeight="1">
      <c r="A103" s="557" t="s">
        <v>177</v>
      </c>
      <c r="B103" s="104"/>
      <c r="C103" s="555">
        <v>72</v>
      </c>
      <c r="D103" s="555">
        <v>118</v>
      </c>
      <c r="E103" s="555">
        <v>255</v>
      </c>
      <c r="F103" s="552" t="str">
        <f>DEC2HEX(BITWISE_AND(((C103 * 249) + 1014), HEX2DEC("F800"))+BITWISE_AND(INT(((D103 * 253) + 505) / 32), HEX2DEC("07E0"))+INT(((E103 * 249) + 1014) / 2048),4)</f>
        <v>4BBF</v>
      </c>
      <c r="G103" t="str">
        <f>"Const Color_" &amp; A103 &amp; " = &amp;H" &amp; F103</f>
        <v>Const Color_royalblue1 = &amp;H4BBF</v>
      </c>
    </row>
    <row r="104" spans="1:7" ht="15" customHeight="1">
      <c r="A104" s="557" t="s">
        <v>178</v>
      </c>
      <c r="B104" s="105"/>
      <c r="C104" s="555">
        <v>67</v>
      </c>
      <c r="D104" s="555">
        <v>110</v>
      </c>
      <c r="E104" s="555">
        <v>238</v>
      </c>
      <c r="F104" s="552" t="str">
        <f>DEC2HEX(BITWISE_AND(((C104 * 249) + 1014), HEX2DEC("F800"))+BITWISE_AND(INT(((D104 * 253) + 505) / 32), HEX2DEC("07E0"))+INT(((E104 * 249) + 1014) / 2048),4)</f>
        <v>437D</v>
      </c>
      <c r="G104" t="str">
        <f>"Const Color_" &amp; A104 &amp; " = &amp;H" &amp; F104</f>
        <v>Const Color_royalblue2 = &amp;H437D</v>
      </c>
    </row>
    <row r="105" spans="1:7" ht="15" customHeight="1">
      <c r="A105" s="557" t="s">
        <v>179</v>
      </c>
      <c r="B105" s="106"/>
      <c r="C105" s="555">
        <v>58</v>
      </c>
      <c r="D105" s="555">
        <v>95</v>
      </c>
      <c r="E105" s="555">
        <v>205</v>
      </c>
      <c r="F105" s="552" t="str">
        <f>DEC2HEX(BITWISE_AND(((C105 * 249) + 1014), HEX2DEC("F800"))+BITWISE_AND(INT(((D105 * 253) + 505) / 32), HEX2DEC("07E0"))+INT(((E105 * 249) + 1014) / 2048),4)</f>
        <v>3AF9</v>
      </c>
      <c r="G105" t="str">
        <f>"Const Color_" &amp; A105 &amp; " = &amp;H" &amp; F105</f>
        <v>Const Color_royalblue3 = &amp;H3AF9</v>
      </c>
    </row>
    <row r="106" spans="1:7" ht="15" customHeight="1">
      <c r="A106" s="557" t="s">
        <v>180</v>
      </c>
      <c r="B106" s="107"/>
      <c r="C106" s="555">
        <v>39</v>
      </c>
      <c r="D106" s="555">
        <v>64</v>
      </c>
      <c r="E106" s="555">
        <v>139</v>
      </c>
      <c r="F106" s="552" t="str">
        <f>DEC2HEX(BITWISE_AND(((C106 * 249) + 1014), HEX2DEC("F800"))+BITWISE_AND(INT(((D106 * 253) + 505) / 32), HEX2DEC("07E0"))+INT(((E106 * 249) + 1014) / 2048),4)</f>
        <v>2A11</v>
      </c>
      <c r="G106" t="str">
        <f>"Const Color_" &amp; A106 &amp; " = &amp;H" &amp; F106</f>
        <v>Const Color_royalblue4 = &amp;H2A11</v>
      </c>
    </row>
    <row r="107" spans="1:7" ht="15" customHeight="1">
      <c r="A107" s="557" t="s">
        <v>30</v>
      </c>
      <c r="B107" s="108"/>
      <c r="C107" s="555">
        <v>100</v>
      </c>
      <c r="D107" s="555">
        <v>149</v>
      </c>
      <c r="E107" s="555">
        <v>237</v>
      </c>
      <c r="F107" s="552" t="str">
        <f>DEC2HEX(BITWISE_AND(((C107 * 249) + 1014), HEX2DEC("F800"))+BITWISE_AND(INT(((D107 * 253) + 505) / 32), HEX2DEC("07E0"))+INT(((E107 * 249) + 1014) / 2048),4)</f>
        <v>64BD</v>
      </c>
      <c r="G107" t="str">
        <f>"Const Color_" &amp; A107 &amp; " = &amp;H" &amp; F107</f>
        <v>Const Color_cornflowerblue = &amp;H64BD</v>
      </c>
    </row>
    <row r="108" spans="1:7" ht="15" customHeight="1">
      <c r="A108" s="557" t="s">
        <v>31</v>
      </c>
      <c r="B108" s="109"/>
      <c r="C108" s="555">
        <v>176</v>
      </c>
      <c r="D108" s="555">
        <v>196</v>
      </c>
      <c r="E108" s="555">
        <v>222</v>
      </c>
      <c r="F108" s="552" t="str">
        <f>DEC2HEX(BITWISE_AND(((C108 * 249) + 1014), HEX2DEC("F800"))+BITWISE_AND(INT(((D108 * 253) + 505) / 32), HEX2DEC("07E0"))+INT(((E108 * 249) + 1014) / 2048),4)</f>
        <v>AE1B</v>
      </c>
      <c r="G108" t="str">
        <f>"Const Color_" &amp; A108 &amp; " = &amp;H" &amp; F108</f>
        <v>Const Color_lightsteelblue = &amp;HAE1B</v>
      </c>
    </row>
    <row r="109" spans="1:7" ht="15" customHeight="1">
      <c r="A109" s="557" t="s">
        <v>181</v>
      </c>
      <c r="B109" s="110"/>
      <c r="C109" s="555">
        <v>202</v>
      </c>
      <c r="D109" s="555">
        <v>225</v>
      </c>
      <c r="E109" s="555">
        <v>255</v>
      </c>
      <c r="F109" s="552" t="str">
        <f>DEC2HEX(BITWISE_AND(((C109 * 249) + 1014), HEX2DEC("F800"))+BITWISE_AND(INT(((D109 * 253) + 505) / 32), HEX2DEC("07E0"))+INT(((E109 * 249) + 1014) / 2048),4)</f>
        <v>CF1F</v>
      </c>
      <c r="G109" t="str">
        <f>"Const Color_" &amp; A109 &amp; " = &amp;H" &amp; F109</f>
        <v>Const Color_lightsteelblue1 = &amp;HCF1F</v>
      </c>
    </row>
    <row r="110" spans="1:7" ht="15" customHeight="1">
      <c r="A110" s="557" t="s">
        <v>182</v>
      </c>
      <c r="B110" s="111"/>
      <c r="C110" s="555">
        <v>188</v>
      </c>
      <c r="D110" s="555">
        <v>210</v>
      </c>
      <c r="E110" s="555">
        <v>238</v>
      </c>
      <c r="F110" s="552" t="str">
        <f>DEC2HEX(BITWISE_AND(((C110 * 249) + 1014), HEX2DEC("F800"))+BITWISE_AND(INT(((D110 * 253) + 505) / 32), HEX2DEC("07E0"))+INT(((E110 * 249) + 1014) / 2048),4)</f>
        <v>BE9D</v>
      </c>
      <c r="G110" t="str">
        <f>"Const Color_" &amp; A110 &amp; " = &amp;H" &amp; F110</f>
        <v>Const Color_lightsteelblue2 = &amp;HBE9D</v>
      </c>
    </row>
    <row r="111" spans="1:7" ht="15" customHeight="1">
      <c r="A111" s="557" t="s">
        <v>183</v>
      </c>
      <c r="B111" s="112"/>
      <c r="C111" s="555">
        <v>162</v>
      </c>
      <c r="D111" s="555">
        <v>181</v>
      </c>
      <c r="E111" s="555">
        <v>205</v>
      </c>
      <c r="F111" s="552" t="str">
        <f>DEC2HEX(BITWISE_AND(((C111 * 249) + 1014), HEX2DEC("F800"))+BITWISE_AND(INT(((D111 * 253) + 505) / 32), HEX2DEC("07E0"))+INT(((E111 * 249) + 1014) / 2048),4)</f>
        <v>A5B9</v>
      </c>
      <c r="G111" t="str">
        <f>"Const Color_" &amp; A111 &amp; " = &amp;H" &amp; F111</f>
        <v>Const Color_lightsteelblue3 = &amp;HA5B9</v>
      </c>
    </row>
    <row r="112" spans="1:7" ht="15" customHeight="1">
      <c r="A112" s="557" t="s">
        <v>184</v>
      </c>
      <c r="B112" s="113"/>
      <c r="C112" s="555">
        <v>110</v>
      </c>
      <c r="D112" s="555">
        <v>123</v>
      </c>
      <c r="E112" s="555">
        <v>139</v>
      </c>
      <c r="F112" s="552" t="str">
        <f>DEC2HEX(BITWISE_AND(((C112 * 249) + 1014), HEX2DEC("F800"))+BITWISE_AND(INT(((D112 * 253) + 505) / 32), HEX2DEC("07E0"))+INT(((E112 * 249) + 1014) / 2048),4)</f>
        <v>6BD1</v>
      </c>
      <c r="G112" t="str">
        <f>"Const Color_" &amp; A112 &amp; " = &amp;H" &amp; F112</f>
        <v>Const Color_lightsteelblue4 = &amp;H6BD1</v>
      </c>
    </row>
    <row r="113" spans="1:7" ht="15" customHeight="1">
      <c r="A113" s="557" t="s">
        <v>32</v>
      </c>
      <c r="B113" s="114"/>
      <c r="C113" s="555">
        <v>119</v>
      </c>
      <c r="D113" s="555">
        <v>136</v>
      </c>
      <c r="E113" s="555">
        <v>153</v>
      </c>
      <c r="F113" s="552" t="str">
        <f>DEC2HEX(BITWISE_AND(((C113 * 249) + 1014), HEX2DEC("F800"))+BITWISE_AND(INT(((D113 * 253) + 505) / 32), HEX2DEC("07E0"))+INT(((E113 * 249) + 1014) / 2048),4)</f>
        <v>7453</v>
      </c>
      <c r="G113" t="str">
        <f>"Const Color_" &amp; A113 &amp; " = &amp;H" &amp; F113</f>
        <v>Const Color_lightslategray = &amp;H7453</v>
      </c>
    </row>
    <row r="114" spans="1:7" ht="15" customHeight="1">
      <c r="A114" s="557" t="s">
        <v>33</v>
      </c>
      <c r="B114" s="115"/>
      <c r="C114" s="555">
        <v>112</v>
      </c>
      <c r="D114" s="555">
        <v>128</v>
      </c>
      <c r="E114" s="555">
        <v>144</v>
      </c>
      <c r="F114" s="552" t="str">
        <f>DEC2HEX(BITWISE_AND(((C114 * 249) + 1014), HEX2DEC("F800"))+BITWISE_AND(INT(((D114 * 253) + 505) / 32), HEX2DEC("07E0"))+INT(((E114 * 249) + 1014) / 2048),4)</f>
        <v>7412</v>
      </c>
      <c r="G114" t="str">
        <f>"Const Color_" &amp; A114 &amp; " = &amp;H" &amp; F114</f>
        <v>Const Color_slategray = &amp;H7412</v>
      </c>
    </row>
    <row r="115" spans="1:7" ht="15" customHeight="1">
      <c r="A115" s="557" t="s">
        <v>185</v>
      </c>
      <c r="B115" s="116"/>
      <c r="C115" s="555">
        <v>198</v>
      </c>
      <c r="D115" s="555">
        <v>226</v>
      </c>
      <c r="E115" s="555">
        <v>255</v>
      </c>
      <c r="F115" s="552" t="str">
        <f>DEC2HEX(BITWISE_AND(((C115 * 249) + 1014), HEX2DEC("F800"))+BITWISE_AND(INT(((D115 * 253) + 505) / 32), HEX2DEC("07E0"))+INT(((E115 * 249) + 1014) / 2048),4)</f>
        <v>C71F</v>
      </c>
      <c r="G115" t="str">
        <f>"Const Color_" &amp; A115 &amp; " = &amp;H" &amp; F115</f>
        <v>Const Color_slategray1 = &amp;HC71F</v>
      </c>
    </row>
    <row r="116" spans="1:7" ht="15" customHeight="1">
      <c r="A116" s="557" t="s">
        <v>186</v>
      </c>
      <c r="B116" s="117"/>
      <c r="C116" s="555">
        <v>185</v>
      </c>
      <c r="D116" s="555">
        <v>211</v>
      </c>
      <c r="E116" s="555">
        <v>238</v>
      </c>
      <c r="F116" s="552" t="str">
        <f>DEC2HEX(BITWISE_AND(((C116 * 249) + 1014), HEX2DEC("F800"))+BITWISE_AND(INT(((D116 * 253) + 505) / 32), HEX2DEC("07E0"))+INT(((E116 * 249) + 1014) / 2048),4)</f>
        <v>B69D</v>
      </c>
      <c r="G116" t="str">
        <f>"Const Color_" &amp; A116 &amp; " = &amp;H" &amp; F116</f>
        <v>Const Color_slategray2 = &amp;HB69D</v>
      </c>
    </row>
    <row r="117" spans="1:7" ht="15" customHeight="1">
      <c r="A117" s="557" t="s">
        <v>187</v>
      </c>
      <c r="B117" s="118"/>
      <c r="C117" s="555">
        <v>159</v>
      </c>
      <c r="D117" s="555">
        <v>182</v>
      </c>
      <c r="E117" s="555">
        <v>205</v>
      </c>
      <c r="F117" s="552" t="str">
        <f>DEC2HEX(BITWISE_AND(((C117 * 249) + 1014), HEX2DEC("F800"))+BITWISE_AND(INT(((D117 * 253) + 505) / 32), HEX2DEC("07E0"))+INT(((E117 * 249) + 1014) / 2048),4)</f>
        <v>9DB9</v>
      </c>
      <c r="G117" t="str">
        <f>"Const Color_" &amp; A117 &amp; " = &amp;H" &amp; F117</f>
        <v>Const Color_slategray3 = &amp;H9DB9</v>
      </c>
    </row>
    <row r="118" spans="1:7" ht="15" customHeight="1">
      <c r="A118" s="557" t="s">
        <v>188</v>
      </c>
      <c r="B118" s="119"/>
      <c r="C118" s="555">
        <v>108</v>
      </c>
      <c r="D118" s="555">
        <v>123</v>
      </c>
      <c r="E118" s="555">
        <v>139</v>
      </c>
      <c r="F118" s="552" t="str">
        <f>DEC2HEX(BITWISE_AND(((C118 * 249) + 1014), HEX2DEC("F800"))+BITWISE_AND(INT(((D118 * 253) + 505) / 32), HEX2DEC("07E0"))+INT(((E118 * 249) + 1014) / 2048),4)</f>
        <v>6BD1</v>
      </c>
      <c r="G118" t="str">
        <f>"Const Color_" &amp; A118 &amp; " = &amp;H" &amp; F118</f>
        <v>Const Color_slategray4 = &amp;H6BD1</v>
      </c>
    </row>
    <row r="119" spans="1:7" ht="15" customHeight="1">
      <c r="A119" s="557" t="s">
        <v>514</v>
      </c>
      <c r="B119" s="120"/>
      <c r="C119" s="555">
        <v>30</v>
      </c>
      <c r="D119" s="555">
        <v>144</v>
      </c>
      <c r="E119" s="555">
        <v>255</v>
      </c>
      <c r="F119" s="552" t="str">
        <f>DEC2HEX(BITWISE_AND(((C119 * 249) + 1014), HEX2DEC("F800"))+BITWISE_AND(INT(((D119 * 253) + 505) / 32), HEX2DEC("07E0"))+INT(((E119 * 249) + 1014) / 2048),4)</f>
        <v>249F</v>
      </c>
      <c r="G119" t="str">
        <f>"Const Color_" &amp; A119 &amp; " = &amp;H" &amp; F119</f>
        <v>Const Color_dodgerblue = &amp;H249F</v>
      </c>
    </row>
    <row r="120" spans="1:7" ht="15" customHeight="1">
      <c r="A120" s="557" t="s">
        <v>189</v>
      </c>
      <c r="B120" s="121"/>
      <c r="C120" s="555">
        <v>28</v>
      </c>
      <c r="D120" s="555">
        <v>134</v>
      </c>
      <c r="E120" s="555">
        <v>238</v>
      </c>
      <c r="F120" s="552" t="str">
        <f>DEC2HEX(BITWISE_AND(((C120 * 249) + 1014), HEX2DEC("F800"))+BITWISE_AND(INT(((D120 * 253) + 505) / 32), HEX2DEC("07E0"))+INT(((E120 * 249) + 1014) / 2048),4)</f>
        <v>1C3D</v>
      </c>
      <c r="G120" t="str">
        <f>"Const Color_" &amp; A120 &amp; " = &amp;H" &amp; F120</f>
        <v>Const Color_dodgerblue2 = &amp;H1C3D</v>
      </c>
    </row>
    <row r="121" spans="1:7" ht="15" customHeight="1">
      <c r="A121" s="557" t="s">
        <v>190</v>
      </c>
      <c r="B121" s="122"/>
      <c r="C121" s="555">
        <v>24</v>
      </c>
      <c r="D121" s="555">
        <v>116</v>
      </c>
      <c r="E121" s="555">
        <v>205</v>
      </c>
      <c r="F121" s="552" t="str">
        <f>DEC2HEX(BITWISE_AND(((C121 * 249) + 1014), HEX2DEC("F800"))+BITWISE_AND(INT(((D121 * 253) + 505) / 32), HEX2DEC("07E0"))+INT(((E121 * 249) + 1014) / 2048),4)</f>
        <v>1BB9</v>
      </c>
      <c r="G121" t="str">
        <f>"Const Color_" &amp; A121 &amp; " = &amp;H" &amp; F121</f>
        <v>Const Color_dodgerblue3 = &amp;H1BB9</v>
      </c>
    </row>
    <row r="122" spans="1:7" ht="15" customHeight="1">
      <c r="A122" s="557" t="s">
        <v>191</v>
      </c>
      <c r="B122" s="123"/>
      <c r="C122" s="555">
        <v>16</v>
      </c>
      <c r="D122" s="555">
        <v>78</v>
      </c>
      <c r="E122" s="555">
        <v>139</v>
      </c>
      <c r="F122" s="552" t="str">
        <f>DEC2HEX(BITWISE_AND(((C122 * 249) + 1014), HEX2DEC("F800"))+BITWISE_AND(INT(((D122 * 253) + 505) / 32), HEX2DEC("07E0"))+INT(((E122 * 249) + 1014) / 2048),4)</f>
        <v>1271</v>
      </c>
      <c r="G122" t="str">
        <f>"Const Color_" &amp; A122 &amp; " = &amp;H" &amp; F122</f>
        <v>Const Color_dodgerblue4 = &amp;H1271</v>
      </c>
    </row>
    <row r="123" spans="1:7" ht="15" customHeight="1">
      <c r="A123" s="557" t="s">
        <v>0</v>
      </c>
      <c r="B123" s="124"/>
      <c r="C123" s="555">
        <v>240</v>
      </c>
      <c r="D123" s="555">
        <v>248</v>
      </c>
      <c r="E123" s="555">
        <v>255</v>
      </c>
      <c r="F123" s="552" t="str">
        <f>DEC2HEX(BITWISE_AND(((C123 * 249) + 1014), HEX2DEC("F800"))+BITWISE_AND(INT(((D123 * 253) + 505) / 32), HEX2DEC("07E0"))+INT(((E123 * 249) + 1014) / 2048),4)</f>
        <v>EFBF</v>
      </c>
      <c r="G123" t="str">
        <f>"Const Color_" &amp; A123 &amp; " = &amp;H" &amp; F123</f>
        <v>Const Color_aliceblue = &amp;HEFBF</v>
      </c>
    </row>
    <row r="124" spans="1:7" ht="15" customHeight="1">
      <c r="A124" s="557" t="s">
        <v>34</v>
      </c>
      <c r="B124" s="125"/>
      <c r="C124" s="555">
        <v>70</v>
      </c>
      <c r="D124" s="555">
        <v>130</v>
      </c>
      <c r="E124" s="555">
        <v>180</v>
      </c>
      <c r="F124" s="552" t="str">
        <f>DEC2HEX(BITWISE_AND(((C124 * 249) + 1014), HEX2DEC("F800"))+BITWISE_AND(INT(((D124 * 253) + 505) / 32), HEX2DEC("07E0"))+INT(((E124 * 249) + 1014) / 2048),4)</f>
        <v>4C16</v>
      </c>
      <c r="G124" t="str">
        <f>"Const Color_" &amp; A124 &amp; " = &amp;H" &amp; F124</f>
        <v>Const Color_steelblue = &amp;H4C16</v>
      </c>
    </row>
    <row r="125" spans="1:7" ht="15" customHeight="1">
      <c r="A125" s="557" t="s">
        <v>192</v>
      </c>
      <c r="B125" s="126"/>
      <c r="C125" s="555">
        <v>99</v>
      </c>
      <c r="D125" s="555">
        <v>184</v>
      </c>
      <c r="E125" s="555">
        <v>255</v>
      </c>
      <c r="F125" s="552" t="str">
        <f>DEC2HEX(BITWISE_AND(((C125 * 249) + 1014), HEX2DEC("F800"))+BITWISE_AND(INT(((D125 * 253) + 505) / 32), HEX2DEC("07E0"))+INT(((E125 * 249) + 1014) / 2048),4)</f>
        <v>65BF</v>
      </c>
      <c r="G125" t="str">
        <f>"Const Color_" &amp; A125 &amp; " = &amp;H" &amp; F125</f>
        <v>Const Color_steelblue1 = &amp;H65BF</v>
      </c>
    </row>
    <row r="126" spans="1:7" ht="15" customHeight="1">
      <c r="A126" s="557" t="s">
        <v>193</v>
      </c>
      <c r="B126" s="127"/>
      <c r="C126" s="555">
        <v>92</v>
      </c>
      <c r="D126" s="555">
        <v>172</v>
      </c>
      <c r="E126" s="555">
        <v>238</v>
      </c>
      <c r="F126" s="552" t="str">
        <f>DEC2HEX(BITWISE_AND(((C126 * 249) + 1014), HEX2DEC("F800"))+BITWISE_AND(INT(((D126 * 253) + 505) / 32), HEX2DEC("07E0"))+INT(((E126 * 249) + 1014) / 2048),4)</f>
        <v>5D5D</v>
      </c>
      <c r="G126" t="str">
        <f>"Const Color_" &amp; A126 &amp; " = &amp;H" &amp; F126</f>
        <v>Const Color_steelblue2 = &amp;H5D5D</v>
      </c>
    </row>
    <row r="127" spans="1:7" ht="15" customHeight="1">
      <c r="A127" s="557" t="s">
        <v>194</v>
      </c>
      <c r="B127" s="128"/>
      <c r="C127" s="555">
        <v>79</v>
      </c>
      <c r="D127" s="555">
        <v>148</v>
      </c>
      <c r="E127" s="555">
        <v>205</v>
      </c>
      <c r="F127" s="552" t="str">
        <f>DEC2HEX(BITWISE_AND(((C127 * 249) + 1014), HEX2DEC("F800"))+BITWISE_AND(INT(((D127 * 253) + 505) / 32), HEX2DEC("07E0"))+INT(((E127 * 249) + 1014) / 2048),4)</f>
        <v>54B9</v>
      </c>
      <c r="G127" t="str">
        <f>"Const Color_" &amp; A127 &amp; " = &amp;H" &amp; F127</f>
        <v>Const Color_steelblue3 = &amp;H54B9</v>
      </c>
    </row>
    <row r="128" spans="1:7" ht="15" customHeight="1">
      <c r="A128" s="557" t="s">
        <v>195</v>
      </c>
      <c r="B128" s="129"/>
      <c r="C128" s="555">
        <v>54</v>
      </c>
      <c r="D128" s="555">
        <v>100</v>
      </c>
      <c r="E128" s="555">
        <v>139</v>
      </c>
      <c r="F128" s="552" t="str">
        <f>DEC2HEX(BITWISE_AND(((C128 * 249) + 1014), HEX2DEC("F800"))+BITWISE_AND(INT(((D128 * 253) + 505) / 32), HEX2DEC("07E0"))+INT(((E128 * 249) + 1014) / 2048),4)</f>
        <v>3B31</v>
      </c>
      <c r="G128" t="str">
        <f>"Const Color_" &amp; A128 &amp; " = &amp;H" &amp; F128</f>
        <v>Const Color_steelblue4 = &amp;H3B31</v>
      </c>
    </row>
    <row r="129" spans="1:7" ht="15" customHeight="1">
      <c r="A129" s="557" t="s">
        <v>35</v>
      </c>
      <c r="B129" s="130"/>
      <c r="C129" s="555">
        <v>135</v>
      </c>
      <c r="D129" s="555">
        <v>206</v>
      </c>
      <c r="E129" s="555">
        <v>250</v>
      </c>
      <c r="F129" s="552" t="str">
        <f>DEC2HEX(BITWISE_AND(((C129 * 249) + 1014), HEX2DEC("F800"))+BITWISE_AND(INT(((D129 * 253) + 505) / 32), HEX2DEC("07E0"))+INT(((E129 * 249) + 1014) / 2048),4)</f>
        <v>867E</v>
      </c>
      <c r="G129" t="str">
        <f>"Const Color_" &amp; A129 &amp; " = &amp;H" &amp; F129</f>
        <v>Const Color_lightskyblue = &amp;H867E</v>
      </c>
    </row>
    <row r="130" spans="1:7" ht="15" customHeight="1">
      <c r="A130" s="557" t="s">
        <v>196</v>
      </c>
      <c r="B130" s="131"/>
      <c r="C130" s="555">
        <v>176</v>
      </c>
      <c r="D130" s="555">
        <v>226</v>
      </c>
      <c r="E130" s="555">
        <v>255</v>
      </c>
      <c r="F130" s="552" t="str">
        <f>DEC2HEX(BITWISE_AND(((C130 * 249) + 1014), HEX2DEC("F800"))+BITWISE_AND(INT(((D130 * 253) + 505) / 32), HEX2DEC("07E0"))+INT(((E130 * 249) + 1014) / 2048),4)</f>
        <v>AF1F</v>
      </c>
      <c r="G130" t="str">
        <f>"Const Color_" &amp; A130 &amp; " = &amp;H" &amp; F130</f>
        <v>Const Color_lightskyblue1 = &amp;HAF1F</v>
      </c>
    </row>
    <row r="131" spans="1:7" ht="15" customHeight="1">
      <c r="A131" s="557" t="s">
        <v>197</v>
      </c>
      <c r="B131" s="132"/>
      <c r="C131" s="555">
        <v>164</v>
      </c>
      <c r="D131" s="555">
        <v>211</v>
      </c>
      <c r="E131" s="555">
        <v>238</v>
      </c>
      <c r="F131" s="552" t="str">
        <f>DEC2HEX(BITWISE_AND(((C131 * 249) + 1014), HEX2DEC("F800"))+BITWISE_AND(INT(((D131 * 253) + 505) / 32), HEX2DEC("07E0"))+INT(((E131 * 249) + 1014) / 2048),4)</f>
        <v>A69D</v>
      </c>
      <c r="G131" t="str">
        <f>"Const Color_" &amp; A131 &amp; " = &amp;H" &amp; F131</f>
        <v>Const Color_lightskyblue2 = &amp;HA69D</v>
      </c>
    </row>
    <row r="132" spans="1:7" ht="15" customHeight="1">
      <c r="A132" s="557" t="s">
        <v>198</v>
      </c>
      <c r="B132" s="133"/>
      <c r="C132" s="555">
        <v>141</v>
      </c>
      <c r="D132" s="555">
        <v>182</v>
      </c>
      <c r="E132" s="555">
        <v>205</v>
      </c>
      <c r="F132" s="552" t="str">
        <f>DEC2HEX(BITWISE_AND(((C132 * 249) + 1014), HEX2DEC("F800"))+BITWISE_AND(INT(((D132 * 253) + 505) / 32), HEX2DEC("07E0"))+INT(((E132 * 249) + 1014) / 2048),4)</f>
        <v>8DB9</v>
      </c>
      <c r="G132" t="str">
        <f>"Const Color_" &amp; A132 &amp; " = &amp;H" &amp; F132</f>
        <v>Const Color_lightskyblue3 = &amp;H8DB9</v>
      </c>
    </row>
    <row r="133" spans="1:7" ht="15" customHeight="1">
      <c r="A133" s="557" t="s">
        <v>199</v>
      </c>
      <c r="B133" s="134"/>
      <c r="C133" s="555">
        <v>96</v>
      </c>
      <c r="D133" s="555">
        <v>123</v>
      </c>
      <c r="E133" s="555">
        <v>139</v>
      </c>
      <c r="F133" s="552" t="str">
        <f>DEC2HEX(BITWISE_AND(((C133 * 249) + 1014), HEX2DEC("F800"))+BITWISE_AND(INT(((D133 * 253) + 505) / 32), HEX2DEC("07E0"))+INT(((E133 * 249) + 1014) / 2048),4)</f>
        <v>63D1</v>
      </c>
      <c r="G133" t="str">
        <f>"Const Color_" &amp; A133 &amp; " = &amp;H" &amp; F133</f>
        <v>Const Color_lightskyblue4 = &amp;H63D1</v>
      </c>
    </row>
    <row r="134" spans="1:7" ht="15" customHeight="1">
      <c r="A134" s="557" t="s">
        <v>200</v>
      </c>
      <c r="B134" s="135"/>
      <c r="C134" s="555">
        <v>135</v>
      </c>
      <c r="D134" s="555">
        <v>206</v>
      </c>
      <c r="E134" s="555">
        <v>255</v>
      </c>
      <c r="F134" s="552" t="str">
        <f>DEC2HEX(BITWISE_AND(((C134 * 249) + 1014), HEX2DEC("F800"))+BITWISE_AND(INT(((D134 * 253) + 505) / 32), HEX2DEC("07E0"))+INT(((E134 * 249) + 1014) / 2048),4)</f>
        <v>867F</v>
      </c>
      <c r="G134" t="str">
        <f>"Const Color_" &amp; A134 &amp; " = &amp;H" &amp; F134</f>
        <v>Const Color_skyblue1 = &amp;H867F</v>
      </c>
    </row>
    <row r="135" spans="1:7" ht="15" customHeight="1">
      <c r="A135" s="557" t="s">
        <v>201</v>
      </c>
      <c r="B135" s="136"/>
      <c r="C135" s="555">
        <v>126</v>
      </c>
      <c r="D135" s="555">
        <v>192</v>
      </c>
      <c r="E135" s="555">
        <v>238</v>
      </c>
      <c r="F135" s="552" t="str">
        <f>DEC2HEX(BITWISE_AND(((C135 * 249) + 1014), HEX2DEC("F800"))+BITWISE_AND(INT(((D135 * 253) + 505) / 32), HEX2DEC("07E0"))+INT(((E135 * 249) + 1014) / 2048),4)</f>
        <v>7DFD</v>
      </c>
      <c r="G135" t="str">
        <f>"Const Color_" &amp; A135 &amp; " = &amp;H" &amp; F135</f>
        <v>Const Color_skyblue2 = &amp;H7DFD</v>
      </c>
    </row>
    <row r="136" spans="1:7" ht="15" customHeight="1">
      <c r="A136" s="557" t="s">
        <v>202</v>
      </c>
      <c r="B136" s="137"/>
      <c r="C136" s="555">
        <v>108</v>
      </c>
      <c r="D136" s="555">
        <v>166</v>
      </c>
      <c r="E136" s="555">
        <v>205</v>
      </c>
      <c r="F136" s="552" t="str">
        <f>DEC2HEX(BITWISE_AND(((C136 * 249) + 1014), HEX2DEC("F800"))+BITWISE_AND(INT(((D136 * 253) + 505) / 32), HEX2DEC("07E0"))+INT(((E136 * 249) + 1014) / 2048),4)</f>
        <v>6D39</v>
      </c>
      <c r="G136" t="str">
        <f>"Const Color_" &amp; A136 &amp; " = &amp;H" &amp; F136</f>
        <v>Const Color_skyblue3 = &amp;H6D39</v>
      </c>
    </row>
    <row r="137" spans="1:7" ht="15" customHeight="1">
      <c r="A137" s="557" t="s">
        <v>203</v>
      </c>
      <c r="B137" s="138"/>
      <c r="C137" s="555">
        <v>74</v>
      </c>
      <c r="D137" s="555">
        <v>112</v>
      </c>
      <c r="E137" s="555">
        <v>139</v>
      </c>
      <c r="F137" s="552" t="str">
        <f>DEC2HEX(BITWISE_AND(((C137 * 249) + 1014), HEX2DEC("F800"))+BITWISE_AND(INT(((D137 * 253) + 505) / 32), HEX2DEC("07E0"))+INT(((E137 * 249) + 1014) / 2048),4)</f>
        <v>4B91</v>
      </c>
      <c r="G137" t="str">
        <f>"Const Color_" &amp; A137 &amp; " = &amp;H" &amp; F137</f>
        <v>Const Color_skyblue4 = &amp;H4B91</v>
      </c>
    </row>
    <row r="138" spans="1:7" ht="15" customHeight="1">
      <c r="A138" s="557" t="s">
        <v>36</v>
      </c>
      <c r="B138" s="139"/>
      <c r="C138" s="555">
        <v>135</v>
      </c>
      <c r="D138" s="555">
        <v>206</v>
      </c>
      <c r="E138" s="555">
        <v>235</v>
      </c>
      <c r="F138" s="552" t="str">
        <f>DEC2HEX(BITWISE_AND(((C138 * 249) + 1014), HEX2DEC("F800"))+BITWISE_AND(INT(((D138 * 253) + 505) / 32), HEX2DEC("07E0"))+INT(((E138 * 249) + 1014) / 2048),4)</f>
        <v>867D</v>
      </c>
      <c r="G138" t="str">
        <f>"Const Color_" &amp; A138 &amp; " = &amp;H" &amp; F138</f>
        <v>Const Color_skyblue = &amp;H867D</v>
      </c>
    </row>
    <row r="139" spans="1:7" ht="15" customHeight="1">
      <c r="A139" s="557" t="s">
        <v>515</v>
      </c>
      <c r="B139" s="140"/>
      <c r="C139" s="555">
        <v>0</v>
      </c>
      <c r="D139" s="555">
        <v>191</v>
      </c>
      <c r="E139" s="555">
        <v>255</v>
      </c>
      <c r="F139" s="552" t="str">
        <f>DEC2HEX(BITWISE_AND(((C139 * 249) + 1014), HEX2DEC("F800"))+BITWISE_AND(INT(((D139 * 253) + 505) / 32), HEX2DEC("07E0"))+INT(((E139 * 249) + 1014) / 2048),4)</f>
        <v>05FF</v>
      </c>
      <c r="G139" t="str">
        <f>"Const Color_" &amp; A139 &amp; " = &amp;H" &amp; F139</f>
        <v>Const Color_deepskyblue = &amp;H05FF</v>
      </c>
    </row>
    <row r="140" spans="1:7" ht="15" customHeight="1">
      <c r="A140" s="557" t="s">
        <v>204</v>
      </c>
      <c r="B140" s="141"/>
      <c r="C140" s="555">
        <v>0</v>
      </c>
      <c r="D140" s="555">
        <v>178</v>
      </c>
      <c r="E140" s="555">
        <v>238</v>
      </c>
      <c r="F140" s="552" t="str">
        <f>DEC2HEX(BITWISE_AND(((C140 * 249) + 1014), HEX2DEC("F800"))+BITWISE_AND(INT(((D140 * 253) + 505) / 32), HEX2DEC("07E0"))+INT(((E140 * 249) + 1014) / 2048),4)</f>
        <v>059D</v>
      </c>
      <c r="G140" t="str">
        <f>"Const Color_" &amp; A140 &amp; " = &amp;H" &amp; F140</f>
        <v>Const Color_deepskyblue2 = &amp;H059D</v>
      </c>
    </row>
    <row r="141" spans="1:7" ht="15" customHeight="1">
      <c r="A141" s="557" t="s">
        <v>205</v>
      </c>
      <c r="B141" s="142"/>
      <c r="C141" s="555">
        <v>0</v>
      </c>
      <c r="D141" s="555">
        <v>154</v>
      </c>
      <c r="E141" s="555">
        <v>205</v>
      </c>
      <c r="F141" s="552" t="str">
        <f>DEC2HEX(BITWISE_AND(((C141 * 249) + 1014), HEX2DEC("F800"))+BITWISE_AND(INT(((D141 * 253) + 505) / 32), HEX2DEC("07E0"))+INT(((E141 * 249) + 1014) / 2048),4)</f>
        <v>04D9</v>
      </c>
      <c r="G141" t="str">
        <f>"Const Color_" &amp; A141 &amp; " = &amp;H" &amp; F141</f>
        <v>Const Color_deepskyblue3 = &amp;H04D9</v>
      </c>
    </row>
    <row r="142" spans="1:7" ht="15" customHeight="1">
      <c r="A142" s="557" t="s">
        <v>206</v>
      </c>
      <c r="B142" s="143"/>
      <c r="C142" s="555">
        <v>0</v>
      </c>
      <c r="D142" s="555">
        <v>104</v>
      </c>
      <c r="E142" s="555">
        <v>139</v>
      </c>
      <c r="F142" s="552" t="str">
        <f>DEC2HEX(BITWISE_AND(((C142 * 249) + 1014), HEX2DEC("F800"))+BITWISE_AND(INT(((D142 * 253) + 505) / 32), HEX2DEC("07E0"))+INT(((E142 * 249) + 1014) / 2048),4)</f>
        <v>0351</v>
      </c>
      <c r="G142" t="str">
        <f>"Const Color_" &amp; A142 &amp; " = &amp;H" &amp; F142</f>
        <v>Const Color_deepskyblue4 = &amp;H0351</v>
      </c>
    </row>
    <row r="143" spans="1:7" ht="15" customHeight="1">
      <c r="A143" s="557" t="s">
        <v>37</v>
      </c>
      <c r="B143" s="144"/>
      <c r="C143" s="555">
        <v>51</v>
      </c>
      <c r="D143" s="555">
        <v>161</v>
      </c>
      <c r="E143" s="555">
        <v>201</v>
      </c>
      <c r="F143" s="552" t="str">
        <f>DEC2HEX(BITWISE_AND(((C143 * 249) + 1014), HEX2DEC("F800"))+BITWISE_AND(INT(((D143 * 253) + 505) / 32), HEX2DEC("07E0"))+INT(((E143 * 249) + 1014) / 2048),4)</f>
        <v>3518</v>
      </c>
      <c r="G143" t="str">
        <f>"Const Color_" &amp; A143 &amp; " = &amp;H" &amp; F143</f>
        <v>Const Color_peacock = &amp;H3518</v>
      </c>
    </row>
    <row r="144" spans="1:7" ht="15" customHeight="1">
      <c r="A144" s="557" t="s">
        <v>38</v>
      </c>
      <c r="B144" s="145"/>
      <c r="C144" s="555">
        <v>173</v>
      </c>
      <c r="D144" s="555">
        <v>216</v>
      </c>
      <c r="E144" s="555">
        <v>230</v>
      </c>
      <c r="F144" s="552" t="str">
        <f>DEC2HEX(BITWISE_AND(((C144 * 249) + 1014), HEX2DEC("F800"))+BITWISE_AND(INT(((D144 * 253) + 505) / 32), HEX2DEC("07E0"))+INT(((E144 * 249) + 1014) / 2048),4)</f>
        <v>AEBC</v>
      </c>
      <c r="G144" t="str">
        <f>"Const Color_" &amp; A144 &amp; " = &amp;H" &amp; F144</f>
        <v>Const Color_lightblue = &amp;HAEBC</v>
      </c>
    </row>
    <row r="145" spans="1:7" ht="15" customHeight="1">
      <c r="A145" s="557" t="s">
        <v>207</v>
      </c>
      <c r="B145" s="146"/>
      <c r="C145" s="555">
        <v>191</v>
      </c>
      <c r="D145" s="555">
        <v>239</v>
      </c>
      <c r="E145" s="555">
        <v>255</v>
      </c>
      <c r="F145" s="552" t="str">
        <f>DEC2HEX(BITWISE_AND(((C145 * 249) + 1014), HEX2DEC("F800"))+BITWISE_AND(INT(((D145 * 253) + 505) / 32), HEX2DEC("07E0"))+INT(((E145 * 249) + 1014) / 2048),4)</f>
        <v>BF7F</v>
      </c>
      <c r="G145" t="str">
        <f>"Const Color_" &amp; A145 &amp; " = &amp;H" &amp; F145</f>
        <v>Const Color_lightblue1 = &amp;HBF7F</v>
      </c>
    </row>
    <row r="146" spans="1:7" ht="15" customHeight="1">
      <c r="A146" s="557" t="s">
        <v>208</v>
      </c>
      <c r="B146" s="147"/>
      <c r="C146" s="555">
        <v>178</v>
      </c>
      <c r="D146" s="555">
        <v>223</v>
      </c>
      <c r="E146" s="555">
        <v>238</v>
      </c>
      <c r="F146" s="552" t="str">
        <f>DEC2HEX(BITWISE_AND(((C146 * 249) + 1014), HEX2DEC("F800"))+BITWISE_AND(INT(((D146 * 253) + 505) / 32), HEX2DEC("07E0"))+INT(((E146 * 249) + 1014) / 2048),4)</f>
        <v>B6FD</v>
      </c>
      <c r="G146" t="str">
        <f>"Const Color_" &amp; A146 &amp; " = &amp;H" &amp; F146</f>
        <v>Const Color_lightblue2 = &amp;HB6FD</v>
      </c>
    </row>
    <row r="147" spans="1:7" ht="15" customHeight="1">
      <c r="A147" s="557" t="s">
        <v>209</v>
      </c>
      <c r="B147" s="148"/>
      <c r="C147" s="555">
        <v>154</v>
      </c>
      <c r="D147" s="555">
        <v>192</v>
      </c>
      <c r="E147" s="555">
        <v>205</v>
      </c>
      <c r="F147" s="552" t="str">
        <f>DEC2HEX(BITWISE_AND(((C147 * 249) + 1014), HEX2DEC("F800"))+BITWISE_AND(INT(((D147 * 253) + 505) / 32), HEX2DEC("07E0"))+INT(((E147 * 249) + 1014) / 2048),4)</f>
        <v>9DF9</v>
      </c>
      <c r="G147" t="str">
        <f>"Const Color_" &amp; A147 &amp; " = &amp;H" &amp; F147</f>
        <v>Const Color_lightblue3 = &amp;H9DF9</v>
      </c>
    </row>
    <row r="148" spans="1:7" ht="15" customHeight="1">
      <c r="A148" s="557" t="s">
        <v>210</v>
      </c>
      <c r="B148" s="149"/>
      <c r="C148" s="555">
        <v>104</v>
      </c>
      <c r="D148" s="555">
        <v>131</v>
      </c>
      <c r="E148" s="555">
        <v>139</v>
      </c>
      <c r="F148" s="552" t="str">
        <f>DEC2HEX(BITWISE_AND(((C148 * 249) + 1014), HEX2DEC("F800"))+BITWISE_AND(INT(((D148 * 253) + 505) / 32), HEX2DEC("07E0"))+INT(((E148 * 249) + 1014) / 2048),4)</f>
        <v>6C11</v>
      </c>
      <c r="G148" t="str">
        <f>"Const Color_" &amp; A148 &amp; " = &amp;H" &amp; F148</f>
        <v>Const Color_lightblue4 = &amp;H6C11</v>
      </c>
    </row>
    <row r="149" spans="1:7" ht="15" customHeight="1">
      <c r="A149" s="557" t="s">
        <v>39</v>
      </c>
      <c r="B149" s="150"/>
      <c r="C149" s="555">
        <v>176</v>
      </c>
      <c r="D149" s="555">
        <v>224</v>
      </c>
      <c r="E149" s="555">
        <v>230</v>
      </c>
      <c r="F149" s="552" t="str">
        <f>DEC2HEX(BITWISE_AND(((C149 * 249) + 1014), HEX2DEC("F800"))+BITWISE_AND(INT(((D149 * 253) + 505) / 32), HEX2DEC("07E0"))+INT(((E149 * 249) + 1014) / 2048),4)</f>
        <v>AEFC</v>
      </c>
      <c r="G149" t="str">
        <f>"Const Color_" &amp; A149 &amp; " = &amp;H" &amp; F149</f>
        <v>Const Color_powderblue = &amp;HAEFC</v>
      </c>
    </row>
    <row r="150" spans="1:7" ht="15" customHeight="1">
      <c r="A150" s="557" t="s">
        <v>211</v>
      </c>
      <c r="B150" s="151"/>
      <c r="C150" s="555">
        <v>152</v>
      </c>
      <c r="D150" s="555">
        <v>245</v>
      </c>
      <c r="E150" s="555">
        <v>255</v>
      </c>
      <c r="F150" s="552" t="str">
        <f>DEC2HEX(BITWISE_AND(((C150 * 249) + 1014), HEX2DEC("F800"))+BITWISE_AND(INT(((D150 * 253) + 505) / 32), HEX2DEC("07E0"))+INT(((E150 * 249) + 1014) / 2048),4)</f>
        <v>97BF</v>
      </c>
      <c r="G150" t="str">
        <f>"Const Color_" &amp; A150 &amp; " = &amp;H" &amp; F150</f>
        <v>Const Color_cadetblue1 = &amp;H97BF</v>
      </c>
    </row>
    <row r="151" spans="1:7" ht="15" customHeight="1">
      <c r="A151" s="557" t="s">
        <v>212</v>
      </c>
      <c r="B151" s="152"/>
      <c r="C151" s="555">
        <v>142</v>
      </c>
      <c r="D151" s="555">
        <v>229</v>
      </c>
      <c r="E151" s="555">
        <v>238</v>
      </c>
      <c r="F151" s="552" t="str">
        <f>DEC2HEX(BITWISE_AND(((C151 * 249) + 1014), HEX2DEC("F800"))+BITWISE_AND(INT(((D151 * 253) + 505) / 32), HEX2DEC("07E0"))+INT(((E151 * 249) + 1014) / 2048),4)</f>
        <v>8F3D</v>
      </c>
      <c r="G151" t="str">
        <f>"Const Color_" &amp; A151 &amp; " = &amp;H" &amp; F151</f>
        <v>Const Color_cadetblue2 = &amp;H8F3D</v>
      </c>
    </row>
    <row r="152" spans="1:7" ht="15" customHeight="1">
      <c r="A152" s="557" t="s">
        <v>213</v>
      </c>
      <c r="B152" s="153"/>
      <c r="C152" s="555">
        <v>122</v>
      </c>
      <c r="D152" s="555">
        <v>197</v>
      </c>
      <c r="E152" s="555">
        <v>205</v>
      </c>
      <c r="F152" s="552" t="str">
        <f>DEC2HEX(BITWISE_AND(((C152 * 249) + 1014), HEX2DEC("F800"))+BITWISE_AND(INT(((D152 * 253) + 505) / 32), HEX2DEC("07E0"))+INT(((E152 * 249) + 1014) / 2048),4)</f>
        <v>7E39</v>
      </c>
      <c r="G152" t="str">
        <f>"Const Color_" &amp; A152 &amp; " = &amp;H" &amp; F152</f>
        <v>Const Color_cadetblue3 = &amp;H7E39</v>
      </c>
    </row>
    <row r="153" spans="1:7" ht="15" customHeight="1">
      <c r="A153" s="557" t="s">
        <v>214</v>
      </c>
      <c r="B153" s="154"/>
      <c r="C153" s="555">
        <v>83</v>
      </c>
      <c r="D153" s="555">
        <v>134</v>
      </c>
      <c r="E153" s="555">
        <v>139</v>
      </c>
      <c r="F153" s="552" t="str">
        <f>DEC2HEX(BITWISE_AND(((C153 * 249) + 1014), HEX2DEC("F800"))+BITWISE_AND(INT(((D153 * 253) + 505) / 32), HEX2DEC("07E0"))+INT(((E153 * 249) + 1014) / 2048),4)</f>
        <v>5431</v>
      </c>
      <c r="G153" t="str">
        <f>"Const Color_" &amp; A153 &amp; " = &amp;H" &amp; F153</f>
        <v>Const Color_cadetblue4 = &amp;H5431</v>
      </c>
    </row>
    <row r="154" spans="1:7" ht="15" customHeight="1">
      <c r="A154" s="557" t="s">
        <v>215</v>
      </c>
      <c r="B154" s="155"/>
      <c r="C154" s="555">
        <v>0</v>
      </c>
      <c r="D154" s="555">
        <v>245</v>
      </c>
      <c r="E154" s="555">
        <v>255</v>
      </c>
      <c r="F154" s="552" t="str">
        <f>DEC2HEX(BITWISE_AND(((C154 * 249) + 1014), HEX2DEC("F800"))+BITWISE_AND(INT(((D154 * 253) + 505) / 32), HEX2DEC("07E0"))+INT(((E154 * 249) + 1014) / 2048),4)</f>
        <v>07BF</v>
      </c>
      <c r="G154" t="str">
        <f>"Const Color_" &amp; A154 &amp; " = &amp;H" &amp; F154</f>
        <v>Const Color_turquoise1 = &amp;H07BF</v>
      </c>
    </row>
    <row r="155" spans="1:7" ht="15" customHeight="1">
      <c r="A155" s="557" t="s">
        <v>216</v>
      </c>
      <c r="B155" s="156"/>
      <c r="C155" s="555">
        <v>0</v>
      </c>
      <c r="D155" s="555">
        <v>229</v>
      </c>
      <c r="E155" s="555">
        <v>238</v>
      </c>
      <c r="F155" s="552" t="str">
        <f>DEC2HEX(BITWISE_AND(((C155 * 249) + 1014), HEX2DEC("F800"))+BITWISE_AND(INT(((D155 * 253) + 505) / 32), HEX2DEC("07E0"))+INT(((E155 * 249) + 1014) / 2048),4)</f>
        <v>073D</v>
      </c>
      <c r="G155" t="str">
        <f>"Const Color_" &amp; A155 &amp; " = &amp;H" &amp; F155</f>
        <v>Const Color_turquoise2 = &amp;H073D</v>
      </c>
    </row>
    <row r="156" spans="1:7" ht="15" customHeight="1">
      <c r="A156" s="557" t="s">
        <v>217</v>
      </c>
      <c r="B156" s="157"/>
      <c r="C156" s="555">
        <v>0</v>
      </c>
      <c r="D156" s="555">
        <v>197</v>
      </c>
      <c r="E156" s="555">
        <v>205</v>
      </c>
      <c r="F156" s="552" t="str">
        <f>DEC2HEX(BITWISE_AND(((C156 * 249) + 1014), HEX2DEC("F800"))+BITWISE_AND(INT(((D156 * 253) + 505) / 32), HEX2DEC("07E0"))+INT(((E156 * 249) + 1014) / 2048),4)</f>
        <v>0639</v>
      </c>
      <c r="G156" t="str">
        <f>"Const Color_" &amp; A156 &amp; " = &amp;H" &amp; F156</f>
        <v>Const Color_turquoise3 = &amp;H0639</v>
      </c>
    </row>
    <row r="157" spans="1:7" ht="15" customHeight="1">
      <c r="A157" s="557" t="s">
        <v>218</v>
      </c>
      <c r="B157" s="158"/>
      <c r="C157" s="555">
        <v>0</v>
      </c>
      <c r="D157" s="555">
        <v>134</v>
      </c>
      <c r="E157" s="555">
        <v>139</v>
      </c>
      <c r="F157" s="552" t="str">
        <f>DEC2HEX(BITWISE_AND(((C157 * 249) + 1014), HEX2DEC("F800"))+BITWISE_AND(INT(((D157 * 253) + 505) / 32), HEX2DEC("07E0"))+INT(((E157 * 249) + 1014) / 2048),4)</f>
        <v>0431</v>
      </c>
      <c r="G157" t="str">
        <f>"Const Color_" &amp; A157 &amp; " = &amp;H" &amp; F157</f>
        <v>Const Color_turquoise4 = &amp;H0431</v>
      </c>
    </row>
    <row r="158" spans="1:7" ht="15" customHeight="1">
      <c r="A158" s="557" t="s">
        <v>40</v>
      </c>
      <c r="B158" s="159"/>
      <c r="C158" s="555">
        <v>95</v>
      </c>
      <c r="D158" s="555">
        <v>158</v>
      </c>
      <c r="E158" s="555">
        <v>160</v>
      </c>
      <c r="F158" s="552" t="str">
        <f>DEC2HEX(BITWISE_AND(((C158 * 249) + 1014), HEX2DEC("F800"))+BITWISE_AND(INT(((D158 * 253) + 505) / 32), HEX2DEC("07E0"))+INT(((E158 * 249) + 1014) / 2048),4)</f>
        <v>64F3</v>
      </c>
      <c r="G158" t="str">
        <f>"Const Color_" &amp; A158 &amp; " = &amp;H" &amp; F158</f>
        <v>Const Color_cadetblue = &amp;H64F3</v>
      </c>
    </row>
    <row r="159" spans="1:7" ht="15" customHeight="1">
      <c r="A159" s="557" t="s">
        <v>41</v>
      </c>
      <c r="B159" s="160"/>
      <c r="C159" s="555">
        <v>0</v>
      </c>
      <c r="D159" s="555">
        <v>206</v>
      </c>
      <c r="E159" s="555">
        <v>209</v>
      </c>
      <c r="F159" s="552" t="str">
        <f>DEC2HEX(BITWISE_AND(((C159 * 249) + 1014), HEX2DEC("F800"))+BITWISE_AND(INT(((D159 * 253) + 505) / 32), HEX2DEC("07E0"))+INT(((E159 * 249) + 1014) / 2048),4)</f>
        <v>0679</v>
      </c>
      <c r="G159" t="str">
        <f>"Const Color_" &amp; A159 &amp; " = &amp;H" &amp; F159</f>
        <v>Const Color_darkturquoise = &amp;H0679</v>
      </c>
    </row>
    <row r="160" spans="1:7" ht="15" customHeight="1">
      <c r="A160" s="557" t="s">
        <v>516</v>
      </c>
      <c r="B160" s="161"/>
      <c r="C160" s="555">
        <v>240</v>
      </c>
      <c r="D160" s="555">
        <v>255</v>
      </c>
      <c r="E160" s="555">
        <v>255</v>
      </c>
      <c r="F160" s="552" t="str">
        <f>DEC2HEX(BITWISE_AND(((C160 * 249) + 1014), HEX2DEC("F800"))+BITWISE_AND(INT(((D160 * 253) + 505) / 32), HEX2DEC("07E0"))+INT(((E160 * 249) + 1014) / 2048),4)</f>
        <v>EFFF</v>
      </c>
      <c r="G160" t="str">
        <f>"Const Color_" &amp; A160 &amp; " = &amp;H" &amp; F160</f>
        <v>Const Color_azure = &amp;HEFFF</v>
      </c>
    </row>
    <row r="161" spans="1:7" ht="15" customHeight="1">
      <c r="A161" s="557" t="s">
        <v>219</v>
      </c>
      <c r="B161" s="162"/>
      <c r="C161" s="555">
        <v>224</v>
      </c>
      <c r="D161" s="555">
        <v>238</v>
      </c>
      <c r="E161" s="555">
        <v>238</v>
      </c>
      <c r="F161" s="552" t="str">
        <f>DEC2HEX(BITWISE_AND(((C161 * 249) + 1014), HEX2DEC("F800"))+BITWISE_AND(INT(((D161 * 253) + 505) / 32), HEX2DEC("07E0"))+INT(((E161 * 249) + 1014) / 2048),4)</f>
        <v>DF7D</v>
      </c>
      <c r="G161" t="str">
        <f>"Const Color_" &amp; A161 &amp; " = &amp;H" &amp; F161</f>
        <v>Const Color_azure2 = &amp;HDF7D</v>
      </c>
    </row>
    <row r="162" spans="1:7" ht="15" customHeight="1">
      <c r="A162" s="557" t="s">
        <v>220</v>
      </c>
      <c r="B162" s="163"/>
      <c r="C162" s="555">
        <v>193</v>
      </c>
      <c r="D162" s="555">
        <v>205</v>
      </c>
      <c r="E162" s="555">
        <v>205</v>
      </c>
      <c r="F162" s="552" t="str">
        <f>DEC2HEX(BITWISE_AND(((C162 * 249) + 1014), HEX2DEC("F800"))+BITWISE_AND(INT(((D162 * 253) + 505) / 32), HEX2DEC("07E0"))+INT(((E162 * 249) + 1014) / 2048),4)</f>
        <v>BE79</v>
      </c>
      <c r="G162" t="str">
        <f>"Const Color_" &amp; A162 &amp; " = &amp;H" &amp; F162</f>
        <v>Const Color_azure3 = &amp;HBE79</v>
      </c>
    </row>
    <row r="163" spans="1:7" ht="15" customHeight="1">
      <c r="A163" s="557" t="s">
        <v>221</v>
      </c>
      <c r="B163" s="164"/>
      <c r="C163" s="555">
        <v>131</v>
      </c>
      <c r="D163" s="555">
        <v>139</v>
      </c>
      <c r="E163" s="555">
        <v>139</v>
      </c>
      <c r="F163" s="552" t="str">
        <f>DEC2HEX(BITWISE_AND(((C163 * 249) + 1014), HEX2DEC("F800"))+BITWISE_AND(INT(((D163 * 253) + 505) / 32), HEX2DEC("07E0"))+INT(((E163 * 249) + 1014) / 2048),4)</f>
        <v>8451</v>
      </c>
      <c r="G163" t="str">
        <f>"Const Color_" &amp; A163 &amp; " = &amp;H" &amp; F163</f>
        <v>Const Color_azure4 = &amp;H8451</v>
      </c>
    </row>
    <row r="164" spans="1:7" ht="15" customHeight="1">
      <c r="A164" s="557" t="s">
        <v>517</v>
      </c>
      <c r="B164" s="165"/>
      <c r="C164" s="555">
        <v>224</v>
      </c>
      <c r="D164" s="555">
        <v>255</v>
      </c>
      <c r="E164" s="555">
        <v>255</v>
      </c>
      <c r="F164" s="552" t="str">
        <f>DEC2HEX(BITWISE_AND(((C164 * 249) + 1014), HEX2DEC("F800"))+BITWISE_AND(INT(((D164 * 253) + 505) / 32), HEX2DEC("07E0"))+INT(((E164 * 249) + 1014) / 2048),4)</f>
        <v>DFFF</v>
      </c>
      <c r="G164" t="str">
        <f>"Const Color_" &amp; A164 &amp; " = &amp;H" &amp; F164</f>
        <v>Const Color_lightcyan = &amp;HDFFF</v>
      </c>
    </row>
    <row r="165" spans="1:7" ht="15" customHeight="1">
      <c r="A165" s="557" t="s">
        <v>222</v>
      </c>
      <c r="B165" s="166"/>
      <c r="C165" s="555">
        <v>209</v>
      </c>
      <c r="D165" s="555">
        <v>238</v>
      </c>
      <c r="E165" s="555">
        <v>238</v>
      </c>
      <c r="F165" s="552" t="str">
        <f>DEC2HEX(BITWISE_AND(((C165 * 249) + 1014), HEX2DEC("F800"))+BITWISE_AND(INT(((D165 * 253) + 505) / 32), HEX2DEC("07E0"))+INT(((E165 * 249) + 1014) / 2048),4)</f>
        <v>CF7D</v>
      </c>
      <c r="G165" t="str">
        <f>"Const Color_" &amp; A165 &amp; " = &amp;H" &amp; F165</f>
        <v>Const Color_lightcyan2 = &amp;HCF7D</v>
      </c>
    </row>
    <row r="166" spans="1:7" ht="15" customHeight="1">
      <c r="A166" s="557" t="s">
        <v>223</v>
      </c>
      <c r="B166" s="167"/>
      <c r="C166" s="555">
        <v>180</v>
      </c>
      <c r="D166" s="555">
        <v>205</v>
      </c>
      <c r="E166" s="555">
        <v>205</v>
      </c>
      <c r="F166" s="552" t="str">
        <f>DEC2HEX(BITWISE_AND(((C166 * 249) + 1014), HEX2DEC("F800"))+BITWISE_AND(INT(((D166 * 253) + 505) / 32), HEX2DEC("07E0"))+INT(((E166 * 249) + 1014) / 2048),4)</f>
        <v>B679</v>
      </c>
      <c r="G166" t="str">
        <f>"Const Color_" &amp; A166 &amp; " = &amp;H" &amp; F166</f>
        <v>Const Color_lightcyan3 = &amp;HB679</v>
      </c>
    </row>
    <row r="167" spans="1:7" ht="15" customHeight="1">
      <c r="A167" s="557" t="s">
        <v>224</v>
      </c>
      <c r="B167" s="168"/>
      <c r="C167" s="555">
        <v>122</v>
      </c>
      <c r="D167" s="555">
        <v>139</v>
      </c>
      <c r="E167" s="555">
        <v>139</v>
      </c>
      <c r="F167" s="552" t="str">
        <f>DEC2HEX(BITWISE_AND(((C167 * 249) + 1014), HEX2DEC("F800"))+BITWISE_AND(INT(((D167 * 253) + 505) / 32), HEX2DEC("07E0"))+INT(((E167 * 249) + 1014) / 2048),4)</f>
        <v>7C51</v>
      </c>
      <c r="G167" t="str">
        <f>"Const Color_" &amp; A167 &amp; " = &amp;H" &amp; F167</f>
        <v>Const Color_lightcyan4 = &amp;H7C51</v>
      </c>
    </row>
    <row r="168" spans="1:7" ht="15" customHeight="1">
      <c r="A168" s="557" t="s">
        <v>225</v>
      </c>
      <c r="B168" s="169"/>
      <c r="C168" s="555">
        <v>187</v>
      </c>
      <c r="D168" s="555">
        <v>255</v>
      </c>
      <c r="E168" s="555">
        <v>255</v>
      </c>
      <c r="F168" s="552" t="str">
        <f>DEC2HEX(BITWISE_AND(((C168 * 249) + 1014), HEX2DEC("F800"))+BITWISE_AND(INT(((D168 * 253) + 505) / 32), HEX2DEC("07E0"))+INT(((E168 * 249) + 1014) / 2048),4)</f>
        <v>BFFF</v>
      </c>
      <c r="G168" t="str">
        <f>"Const Color_" &amp; A168 &amp; " = &amp;H" &amp; F168</f>
        <v>Const Color_paleturquoise1 = &amp;HBFFF</v>
      </c>
    </row>
    <row r="169" spans="1:7" ht="15" customHeight="1">
      <c r="A169" s="557" t="s">
        <v>518</v>
      </c>
      <c r="B169" s="170"/>
      <c r="C169" s="555">
        <v>174</v>
      </c>
      <c r="D169" s="555">
        <v>238</v>
      </c>
      <c r="E169" s="555">
        <v>238</v>
      </c>
      <c r="F169" s="552" t="str">
        <f>DEC2HEX(BITWISE_AND(((C169 * 249) + 1014), HEX2DEC("F800"))+BITWISE_AND(INT(((D169 * 253) + 505) / 32), HEX2DEC("07E0"))+INT(((E169 * 249) + 1014) / 2048),4)</f>
        <v>AF7D</v>
      </c>
      <c r="G169" t="str">
        <f>"Const Color_" &amp; A169 &amp; " = &amp;H" &amp; F169</f>
        <v>Const Color_paleturquoise = &amp;HAF7D</v>
      </c>
    </row>
    <row r="170" spans="1:7" ht="15" customHeight="1">
      <c r="A170" s="557" t="s">
        <v>226</v>
      </c>
      <c r="B170" s="171"/>
      <c r="C170" s="555">
        <v>150</v>
      </c>
      <c r="D170" s="555">
        <v>205</v>
      </c>
      <c r="E170" s="555">
        <v>205</v>
      </c>
      <c r="F170" s="552" t="str">
        <f>DEC2HEX(BITWISE_AND(((C170 * 249) + 1014), HEX2DEC("F800"))+BITWISE_AND(INT(((D170 * 253) + 505) / 32), HEX2DEC("07E0"))+INT(((E170 * 249) + 1014) / 2048),4)</f>
        <v>9679</v>
      </c>
      <c r="G170" t="str">
        <f>"Const Color_" &amp; A170 &amp; " = &amp;H" &amp; F170</f>
        <v>Const Color_paleturquoise3 = &amp;H9679</v>
      </c>
    </row>
    <row r="171" spans="1:7" ht="15" customHeight="1">
      <c r="A171" s="557" t="s">
        <v>227</v>
      </c>
      <c r="B171" s="172"/>
      <c r="C171" s="555">
        <v>102</v>
      </c>
      <c r="D171" s="555">
        <v>139</v>
      </c>
      <c r="E171" s="555">
        <v>139</v>
      </c>
      <c r="F171" s="552" t="str">
        <f>DEC2HEX(BITWISE_AND(((C171 * 249) + 1014), HEX2DEC("F800"))+BITWISE_AND(INT(((D171 * 253) + 505) / 32), HEX2DEC("07E0"))+INT(((E171 * 249) + 1014) / 2048),4)</f>
        <v>6451</v>
      </c>
      <c r="G171" t="str">
        <f>"Const Color_" &amp; A171 &amp; " = &amp;H" &amp; F171</f>
        <v>Const Color_paleturquoise4 = &amp;H6451</v>
      </c>
    </row>
    <row r="172" spans="1:7" ht="15" customHeight="1">
      <c r="A172" s="557" t="s">
        <v>42</v>
      </c>
      <c r="B172" s="173"/>
      <c r="C172" s="555">
        <v>47</v>
      </c>
      <c r="D172" s="555">
        <v>79</v>
      </c>
      <c r="E172" s="555">
        <v>79</v>
      </c>
      <c r="F172" s="552" t="str">
        <f>DEC2HEX(BITWISE_AND(((C172 * 249) + 1014), HEX2DEC("F800"))+BITWISE_AND(INT(((D172 * 253) + 505) / 32), HEX2DEC("07E0"))+INT(((E172 * 249) + 1014) / 2048),4)</f>
        <v>328A</v>
      </c>
      <c r="G172" t="str">
        <f>"Const Color_" &amp; A172 &amp; " = &amp;H" &amp; F172</f>
        <v>Const Color_darkslategray = &amp;H328A</v>
      </c>
    </row>
    <row r="173" spans="1:7" ht="15" customHeight="1">
      <c r="A173" s="557" t="s">
        <v>228</v>
      </c>
      <c r="B173" s="174"/>
      <c r="C173" s="555">
        <v>151</v>
      </c>
      <c r="D173" s="555">
        <v>255</v>
      </c>
      <c r="E173" s="555">
        <v>255</v>
      </c>
      <c r="F173" s="552" t="str">
        <f>DEC2HEX(BITWISE_AND(((C173 * 249) + 1014), HEX2DEC("F800"))+BITWISE_AND(INT(((D173 * 253) + 505) / 32), HEX2DEC("07E0"))+INT(((E173 * 249) + 1014) / 2048),4)</f>
        <v>97FF</v>
      </c>
      <c r="G173" t="str">
        <f>"Const Color_" &amp; A173 &amp; " = &amp;H" &amp; F173</f>
        <v>Const Color_darkslategray1 = &amp;H97FF</v>
      </c>
    </row>
    <row r="174" spans="1:7" ht="15" customHeight="1">
      <c r="A174" s="557" t="s">
        <v>229</v>
      </c>
      <c r="B174" s="175"/>
      <c r="C174" s="555">
        <v>141</v>
      </c>
      <c r="D174" s="555">
        <v>238</v>
      </c>
      <c r="E174" s="555">
        <v>238</v>
      </c>
      <c r="F174" s="552" t="str">
        <f>DEC2HEX(BITWISE_AND(((C174 * 249) + 1014), HEX2DEC("F800"))+BITWISE_AND(INT(((D174 * 253) + 505) / 32), HEX2DEC("07E0"))+INT(((E174 * 249) + 1014) / 2048),4)</f>
        <v>8F7D</v>
      </c>
      <c r="G174" t="str">
        <f>"Const Color_" &amp; A174 &amp; " = &amp;H" &amp; F174</f>
        <v>Const Color_darkslategray2 = &amp;H8F7D</v>
      </c>
    </row>
    <row r="175" spans="1:7" ht="15" customHeight="1">
      <c r="A175" s="557" t="s">
        <v>230</v>
      </c>
      <c r="B175" s="176"/>
      <c r="C175" s="555">
        <v>121</v>
      </c>
      <c r="D175" s="555">
        <v>205</v>
      </c>
      <c r="E175" s="555">
        <v>205</v>
      </c>
      <c r="F175" s="552" t="str">
        <f>DEC2HEX(BITWISE_AND(((C175 * 249) + 1014), HEX2DEC("F800"))+BITWISE_AND(INT(((D175 * 253) + 505) / 32), HEX2DEC("07E0"))+INT(((E175 * 249) + 1014) / 2048),4)</f>
        <v>7E79</v>
      </c>
      <c r="G175" t="str">
        <f>"Const Color_" &amp; A175 &amp; " = &amp;H" &amp; F175</f>
        <v>Const Color_darkslategray3 = &amp;H7E79</v>
      </c>
    </row>
    <row r="176" spans="1:7" ht="15" customHeight="1">
      <c r="A176" s="557" t="s">
        <v>231</v>
      </c>
      <c r="B176" s="177"/>
      <c r="C176" s="555">
        <v>82</v>
      </c>
      <c r="D176" s="555">
        <v>139</v>
      </c>
      <c r="E176" s="555">
        <v>139</v>
      </c>
      <c r="F176" s="552" t="str">
        <f>DEC2HEX(BITWISE_AND(((C176 * 249) + 1014), HEX2DEC("F800"))+BITWISE_AND(INT(((D176 * 253) + 505) / 32), HEX2DEC("07E0"))+INT(((E176 * 249) + 1014) / 2048),4)</f>
        <v>5451</v>
      </c>
      <c r="G176" t="str">
        <f>"Const Color_" &amp; A176 &amp; " = &amp;H" &amp; F176</f>
        <v>Const Color_darkslategray4 = &amp;H5451</v>
      </c>
    </row>
    <row r="177" spans="1:7" ht="15" customHeight="1">
      <c r="A177" s="557" t="s">
        <v>504</v>
      </c>
      <c r="B177" s="178"/>
      <c r="C177" s="555">
        <v>0</v>
      </c>
      <c r="D177" s="555">
        <v>255</v>
      </c>
      <c r="E177" s="555">
        <v>255</v>
      </c>
      <c r="F177" s="552" t="str">
        <f>DEC2HEX(BITWISE_AND(((C177 * 249) + 1014), HEX2DEC("F800"))+BITWISE_AND(INT(((D177 * 253) + 505) / 32), HEX2DEC("07E0"))+INT(((E177 * 249) + 1014) / 2048),4)</f>
        <v>07FF</v>
      </c>
      <c r="G177" t="str">
        <f>"Const Color_" &amp; A177 &amp; " = &amp;H" &amp; F177</f>
        <v>Const Color_cyan = &amp;H07FF</v>
      </c>
    </row>
    <row r="178" spans="1:7" ht="15" customHeight="1">
      <c r="A178" s="557" t="s">
        <v>232</v>
      </c>
      <c r="B178" s="179"/>
      <c r="C178" s="555">
        <v>0</v>
      </c>
      <c r="D178" s="555">
        <v>238</v>
      </c>
      <c r="E178" s="555">
        <v>238</v>
      </c>
      <c r="F178" s="552" t="str">
        <f>DEC2HEX(BITWISE_AND(((C178 * 249) + 1014), HEX2DEC("F800"))+BITWISE_AND(INT(((D178 * 253) + 505) / 32), HEX2DEC("07E0"))+INT(((E178 * 249) + 1014) / 2048),4)</f>
        <v>077D</v>
      </c>
      <c r="G178" t="str">
        <f>"Const Color_" &amp; A178 &amp; " = &amp;H" &amp; F178</f>
        <v>Const Color_cyan2 = &amp;H077D</v>
      </c>
    </row>
    <row r="179" spans="1:7" ht="15" customHeight="1">
      <c r="A179" s="557" t="s">
        <v>233</v>
      </c>
      <c r="B179" s="180"/>
      <c r="C179" s="555">
        <v>0</v>
      </c>
      <c r="D179" s="555">
        <v>205</v>
      </c>
      <c r="E179" s="555">
        <v>205</v>
      </c>
      <c r="F179" s="552" t="str">
        <f>DEC2HEX(BITWISE_AND(((C179 * 249) + 1014), HEX2DEC("F800"))+BITWISE_AND(INT(((D179 * 253) + 505) / 32), HEX2DEC("07E0"))+INT(((E179 * 249) + 1014) / 2048),4)</f>
        <v>0679</v>
      </c>
      <c r="G179" t="str">
        <f>"Const Color_" &amp; A179 &amp; " = &amp;H" &amp; F179</f>
        <v>Const Color_cyan3 = &amp;H0679</v>
      </c>
    </row>
    <row r="180" spans="1:7" ht="15" customHeight="1">
      <c r="A180" s="557" t="s">
        <v>505</v>
      </c>
      <c r="B180" s="181"/>
      <c r="C180" s="555">
        <v>0</v>
      </c>
      <c r="D180" s="555">
        <v>139</v>
      </c>
      <c r="E180" s="555">
        <v>139</v>
      </c>
      <c r="F180" s="552" t="str">
        <f>DEC2HEX(BITWISE_AND(((C180 * 249) + 1014), HEX2DEC("F800"))+BITWISE_AND(INT(((D180 * 253) + 505) / 32), HEX2DEC("07E0"))+INT(((E180 * 249) + 1014) / 2048),4)</f>
        <v>0451</v>
      </c>
      <c r="G180" t="str">
        <f>"Const Color_" &amp; A180 &amp; " = &amp;H" &amp; F180</f>
        <v>Const Color_darkcyan = &amp;H0451</v>
      </c>
    </row>
    <row r="181" spans="1:7" ht="15" customHeight="1">
      <c r="A181" s="557" t="s">
        <v>506</v>
      </c>
      <c r="B181" s="182"/>
      <c r="C181" s="555">
        <v>0</v>
      </c>
      <c r="D181" s="555">
        <v>128</v>
      </c>
      <c r="E181" s="555">
        <v>128</v>
      </c>
      <c r="F181" s="552" t="str">
        <f>DEC2HEX(BITWISE_AND(((C181 * 249) + 1014), HEX2DEC("F800"))+BITWISE_AND(INT(((D181 * 253) + 505) / 32), HEX2DEC("07E0"))+INT(((E181 * 249) + 1014) / 2048),4)</f>
        <v>0410</v>
      </c>
      <c r="G181" t="str">
        <f>"Const Color_" &amp; A181 &amp; " = &amp;H" &amp; F181</f>
        <v>Const Color_teal = &amp;H0410</v>
      </c>
    </row>
    <row r="182" spans="1:7" ht="15" customHeight="1">
      <c r="A182" s="557" t="s">
        <v>43</v>
      </c>
      <c r="B182" s="183"/>
      <c r="C182" s="555">
        <v>72</v>
      </c>
      <c r="D182" s="555">
        <v>209</v>
      </c>
      <c r="E182" s="555">
        <v>204</v>
      </c>
      <c r="F182" s="552" t="str">
        <f>DEC2HEX(BITWISE_AND(((C182 * 249) + 1014), HEX2DEC("F800"))+BITWISE_AND(INT(((D182 * 253) + 505) / 32), HEX2DEC("07E0"))+INT(((E182 * 249) + 1014) / 2048),4)</f>
        <v>4E99</v>
      </c>
      <c r="G182" t="str">
        <f>"Const Color_" &amp; A182 &amp; " = &amp;H" &amp; F182</f>
        <v>Const Color_mediumturquoise = &amp;H4E99</v>
      </c>
    </row>
    <row r="183" spans="1:7" ht="15" customHeight="1">
      <c r="A183" s="557" t="s">
        <v>44</v>
      </c>
      <c r="B183" s="184"/>
      <c r="C183" s="555">
        <v>32</v>
      </c>
      <c r="D183" s="555">
        <v>178</v>
      </c>
      <c r="E183" s="555">
        <v>170</v>
      </c>
      <c r="F183" s="552" t="str">
        <f>DEC2HEX(BITWISE_AND(((C183 * 249) + 1014), HEX2DEC("F800"))+BITWISE_AND(INT(((D183 * 253) + 505) / 32), HEX2DEC("07E0"))+INT(((E183 * 249) + 1014) / 2048),4)</f>
        <v>2595</v>
      </c>
      <c r="G183" t="str">
        <f>"Const Color_" &amp; A183 &amp; " = &amp;H" &amp; F183</f>
        <v>Const Color_lightseagreen = &amp;H2595</v>
      </c>
    </row>
    <row r="184" spans="1:7" ht="15" customHeight="1">
      <c r="A184" s="557" t="s">
        <v>45</v>
      </c>
      <c r="B184" s="185"/>
      <c r="C184" s="555">
        <v>3</v>
      </c>
      <c r="D184" s="555">
        <v>168</v>
      </c>
      <c r="E184" s="555">
        <v>158</v>
      </c>
      <c r="F184" s="552" t="str">
        <f>DEC2HEX(BITWISE_AND(((C184 * 249) + 1014), HEX2DEC("F800"))+BITWISE_AND(INT(((D184 * 253) + 505) / 32), HEX2DEC("07E0"))+INT(((E184 * 249) + 1014) / 2048),4)</f>
        <v>0553</v>
      </c>
      <c r="G184" t="str">
        <f>"Const Color_" &amp; A184 &amp; " = &amp;H" &amp; F184</f>
        <v>Const Color_manganeseblue = &amp;H0553</v>
      </c>
    </row>
    <row r="185" spans="1:7" ht="15" customHeight="1">
      <c r="A185" s="557" t="s">
        <v>46</v>
      </c>
      <c r="B185" s="186"/>
      <c r="C185" s="555">
        <v>64</v>
      </c>
      <c r="D185" s="555">
        <v>224</v>
      </c>
      <c r="E185" s="555">
        <v>208</v>
      </c>
      <c r="F185" s="552" t="str">
        <f>DEC2HEX(BITWISE_AND(((C185 * 249) + 1014), HEX2DEC("F800"))+BITWISE_AND(INT(((D185 * 253) + 505) / 32), HEX2DEC("07E0"))+INT(((E185 * 249) + 1014) / 2048),4)</f>
        <v>46F9</v>
      </c>
      <c r="G185" t="str">
        <f>"Const Color_" &amp; A185 &amp; " = &amp;H" &amp; F185</f>
        <v>Const Color_turquoise = &amp;H46F9</v>
      </c>
    </row>
    <row r="186" spans="1:7" ht="15" customHeight="1">
      <c r="A186" s="557" t="s">
        <v>47</v>
      </c>
      <c r="B186" s="187"/>
      <c r="C186" s="555">
        <v>128</v>
      </c>
      <c r="D186" s="555">
        <v>138</v>
      </c>
      <c r="E186" s="555">
        <v>135</v>
      </c>
      <c r="F186" s="552" t="str">
        <f>DEC2HEX(BITWISE_AND(((C186 * 249) + 1014), HEX2DEC("F800"))+BITWISE_AND(INT(((D186 * 253) + 505) / 32), HEX2DEC("07E0"))+INT(((E186 * 249) + 1014) / 2048),4)</f>
        <v>8450</v>
      </c>
      <c r="G186" t="str">
        <f>"Const Color_" &amp; A186 &amp; " = &amp;H" &amp; F186</f>
        <v>Const Color_coldgrey = &amp;H8450</v>
      </c>
    </row>
    <row r="187" spans="1:7" ht="15" customHeight="1">
      <c r="A187" s="557" t="s">
        <v>48</v>
      </c>
      <c r="B187" s="188"/>
      <c r="C187" s="555">
        <v>0</v>
      </c>
      <c r="D187" s="555">
        <v>199</v>
      </c>
      <c r="E187" s="555">
        <v>140</v>
      </c>
      <c r="F187" s="552" t="str">
        <f>DEC2HEX(BITWISE_AND(((C187 * 249) + 1014), HEX2DEC("F800"))+BITWISE_AND(INT(((D187 * 253) + 505) / 32), HEX2DEC("07E0"))+INT(((E187 * 249) + 1014) / 2048),4)</f>
        <v>0631</v>
      </c>
      <c r="G187" t="str">
        <f>"Const Color_" &amp; A187 &amp; " = &amp;H" &amp; F187</f>
        <v>Const Color_turquoiseblue = &amp;H0631</v>
      </c>
    </row>
    <row r="188" spans="1:7" ht="15" customHeight="1">
      <c r="A188" s="557" t="s">
        <v>2</v>
      </c>
      <c r="B188" s="189"/>
      <c r="C188" s="555">
        <v>127</v>
      </c>
      <c r="D188" s="555">
        <v>255</v>
      </c>
      <c r="E188" s="555">
        <v>212</v>
      </c>
      <c r="F188" s="552" t="str">
        <f>DEC2HEX(BITWISE_AND(((C188 * 249) + 1014), HEX2DEC("F800"))+BITWISE_AND(INT(((D188 * 253) + 505) / 32), HEX2DEC("07E0"))+INT(((E188 * 249) + 1014) / 2048),4)</f>
        <v>7FFA</v>
      </c>
      <c r="G188" t="str">
        <f>"Const Color_" &amp; A188 &amp; " = &amp;H" &amp; F188</f>
        <v>Const Color_aquamarine = &amp;H7FFA</v>
      </c>
    </row>
    <row r="189" spans="1:7" ht="15" customHeight="1">
      <c r="A189" s="557" t="s">
        <v>234</v>
      </c>
      <c r="B189" s="190"/>
      <c r="C189" s="555">
        <v>118</v>
      </c>
      <c r="D189" s="555">
        <v>238</v>
      </c>
      <c r="E189" s="555">
        <v>198</v>
      </c>
      <c r="F189" s="552" t="str">
        <f>DEC2HEX(BITWISE_AND(((C189 * 249) + 1014), HEX2DEC("F800"))+BITWISE_AND(INT(((D189 * 253) + 505) / 32), HEX2DEC("07E0"))+INT(((E189 * 249) + 1014) / 2048),4)</f>
        <v>7778</v>
      </c>
      <c r="G189" t="str">
        <f>"Const Color_" &amp; A189 &amp; " = &amp;H" &amp; F189</f>
        <v>Const Color_aquamarine2 = &amp;H7778</v>
      </c>
    </row>
    <row r="190" spans="1:7" ht="15" customHeight="1">
      <c r="A190" s="557" t="s">
        <v>507</v>
      </c>
      <c r="B190" s="191"/>
      <c r="C190" s="555">
        <v>102</v>
      </c>
      <c r="D190" s="555">
        <v>205</v>
      </c>
      <c r="E190" s="555">
        <v>170</v>
      </c>
      <c r="F190" s="552" t="str">
        <f>DEC2HEX(BITWISE_AND(((C190 * 249) + 1014), HEX2DEC("F800"))+BITWISE_AND(INT(((D190 * 253) + 505) / 32), HEX2DEC("07E0"))+INT(((E190 * 249) + 1014) / 2048),4)</f>
        <v>6675</v>
      </c>
      <c r="G190" t="str">
        <f>"Const Color_" &amp; A190 &amp; " = &amp;H" &amp; F190</f>
        <v>Const Color_mediumaquamarine = &amp;H6675</v>
      </c>
    </row>
    <row r="191" spans="1:7" ht="15" customHeight="1">
      <c r="A191" s="557" t="s">
        <v>235</v>
      </c>
      <c r="B191" s="192"/>
      <c r="C191" s="555">
        <v>69</v>
      </c>
      <c r="D191" s="555">
        <v>139</v>
      </c>
      <c r="E191" s="555">
        <v>116</v>
      </c>
      <c r="F191" s="552" t="str">
        <f>DEC2HEX(BITWISE_AND(((C191 * 249) + 1014), HEX2DEC("F800"))+BITWISE_AND(INT(((D191 * 253) + 505) / 32), HEX2DEC("07E0"))+INT(((E191 * 249) + 1014) / 2048),4)</f>
        <v>444E</v>
      </c>
      <c r="G191" t="str">
        <f>"Const Color_" &amp; A191 &amp; " = &amp;H" &amp; F191</f>
        <v>Const Color_aquamarine4 = &amp;H444E</v>
      </c>
    </row>
    <row r="192" spans="1:7" ht="15" customHeight="1">
      <c r="A192" s="557" t="s">
        <v>49</v>
      </c>
      <c r="B192" s="193"/>
      <c r="C192" s="555">
        <v>0</v>
      </c>
      <c r="D192" s="555">
        <v>250</v>
      </c>
      <c r="E192" s="555">
        <v>154</v>
      </c>
      <c r="F192" s="552" t="str">
        <f>DEC2HEX(BITWISE_AND(((C192 * 249) + 1014), HEX2DEC("F800"))+BITWISE_AND(INT(((D192 * 253) + 505) / 32), HEX2DEC("07E0"))+INT(((E192 * 249) + 1014) / 2048),4)</f>
        <v>07D3</v>
      </c>
      <c r="G192" t="str">
        <f>"Const Color_" &amp; A192 &amp; " = &amp;H" &amp; F192</f>
        <v>Const Color_mediumspringgreen = &amp;H07D3</v>
      </c>
    </row>
    <row r="193" spans="1:7" ht="15" customHeight="1">
      <c r="A193" s="557" t="s">
        <v>50</v>
      </c>
      <c r="B193" s="194"/>
      <c r="C193" s="555">
        <v>245</v>
      </c>
      <c r="D193" s="555">
        <v>255</v>
      </c>
      <c r="E193" s="555">
        <v>250</v>
      </c>
      <c r="F193" s="552" t="str">
        <f>DEC2HEX(BITWISE_AND(((C193 * 249) + 1014), HEX2DEC("F800"))+BITWISE_AND(INT(((D193 * 253) + 505) / 32), HEX2DEC("07E0"))+INT(((E193 * 249) + 1014) / 2048),4)</f>
        <v>F7FE</v>
      </c>
      <c r="G193" t="str">
        <f>"Const Color_" &amp; A193 &amp; " = &amp;H" &amp; F193</f>
        <v>Const Color_mintcream = &amp;HF7FE</v>
      </c>
    </row>
    <row r="194" spans="1:7" ht="15" customHeight="1">
      <c r="A194" s="557" t="s">
        <v>51</v>
      </c>
      <c r="B194" s="195"/>
      <c r="C194" s="555">
        <v>0</v>
      </c>
      <c r="D194" s="555">
        <v>255</v>
      </c>
      <c r="E194" s="555">
        <v>127</v>
      </c>
      <c r="F194" s="552" t="str">
        <f>DEC2HEX(BITWISE_AND(((C194 * 249) + 1014), HEX2DEC("F800"))+BITWISE_AND(INT(((D194 * 253) + 505) / 32), HEX2DEC("07E0"))+INT(((E194 * 249) + 1014) / 2048),4)</f>
        <v>07EF</v>
      </c>
      <c r="G194" t="str">
        <f>"Const Color_" &amp; A194 &amp; " = &amp;H" &amp; F194</f>
        <v>Const Color_springgreen = &amp;H07EF</v>
      </c>
    </row>
    <row r="195" spans="1:7" ht="15" customHeight="1">
      <c r="A195" s="557" t="s">
        <v>236</v>
      </c>
      <c r="B195" s="196"/>
      <c r="C195" s="555">
        <v>0</v>
      </c>
      <c r="D195" s="555">
        <v>238</v>
      </c>
      <c r="E195" s="555">
        <v>118</v>
      </c>
      <c r="F195" s="552" t="str">
        <f>DEC2HEX(BITWISE_AND(((C195 * 249) + 1014), HEX2DEC("F800"))+BITWISE_AND(INT(((D195 * 253) + 505) / 32), HEX2DEC("07E0"))+INT(((E195 * 249) + 1014) / 2048),4)</f>
        <v>076E</v>
      </c>
      <c r="G195" t="str">
        <f>"Const Color_" &amp; A195 &amp; " = &amp;H" &amp; F195</f>
        <v>Const Color_springgreen1 = &amp;H076E</v>
      </c>
    </row>
    <row r="196" spans="1:7" ht="15" customHeight="1">
      <c r="A196" s="557" t="s">
        <v>237</v>
      </c>
      <c r="B196" s="197"/>
      <c r="C196" s="555">
        <v>0</v>
      </c>
      <c r="D196" s="555">
        <v>205</v>
      </c>
      <c r="E196" s="555">
        <v>102</v>
      </c>
      <c r="F196" s="552" t="str">
        <f>DEC2HEX(BITWISE_AND(((C196 * 249) + 1014), HEX2DEC("F800"))+BITWISE_AND(INT(((D196 * 253) + 505) / 32), HEX2DEC("07E0"))+INT(((E196 * 249) + 1014) / 2048),4)</f>
        <v>066C</v>
      </c>
      <c r="G196" t="str">
        <f>"Const Color_" &amp; A196 &amp; " = &amp;H" &amp; F196</f>
        <v>Const Color_springgreen2 = &amp;H066C</v>
      </c>
    </row>
    <row r="197" spans="1:7" ht="15" customHeight="1">
      <c r="A197" s="557" t="s">
        <v>238</v>
      </c>
      <c r="B197" s="198"/>
      <c r="C197" s="555">
        <v>0</v>
      </c>
      <c r="D197" s="555">
        <v>139</v>
      </c>
      <c r="E197" s="555">
        <v>69</v>
      </c>
      <c r="F197" s="552" t="str">
        <f>DEC2HEX(BITWISE_AND(((C197 * 249) + 1014), HEX2DEC("F800"))+BITWISE_AND(INT(((D197 * 253) + 505) / 32), HEX2DEC("07E0"))+INT(((E197 * 249) + 1014) / 2048),4)</f>
        <v>0448</v>
      </c>
      <c r="G197" t="str">
        <f>"Const Color_" &amp; A197 &amp; " = &amp;H" &amp; F197</f>
        <v>Const Color_springgreen3 = &amp;H0448</v>
      </c>
    </row>
    <row r="198" spans="1:7" ht="15" customHeight="1">
      <c r="A198" s="557" t="s">
        <v>52</v>
      </c>
      <c r="B198" s="199"/>
      <c r="C198" s="555">
        <v>60</v>
      </c>
      <c r="D198" s="555">
        <v>179</v>
      </c>
      <c r="E198" s="555">
        <v>113</v>
      </c>
      <c r="F198" s="552" t="str">
        <f>DEC2HEX(BITWISE_AND(((C198 * 249) + 1014), HEX2DEC("F800"))+BITWISE_AND(INT(((D198 * 253) + 505) / 32), HEX2DEC("07E0"))+INT(((E198 * 249) + 1014) / 2048),4)</f>
        <v>3D8E</v>
      </c>
      <c r="G198" t="str">
        <f>"Const Color_" &amp; A198 &amp; " = &amp;H" &amp; F198</f>
        <v>Const Color_mediumseagreen = &amp;H3D8E</v>
      </c>
    </row>
    <row r="199" spans="1:7" ht="15" customHeight="1">
      <c r="A199" s="557" t="s">
        <v>239</v>
      </c>
      <c r="B199" s="200"/>
      <c r="C199" s="555">
        <v>84</v>
      </c>
      <c r="D199" s="555">
        <v>255</v>
      </c>
      <c r="E199" s="555">
        <v>159</v>
      </c>
      <c r="F199" s="552" t="str">
        <f>DEC2HEX(BITWISE_AND(((C199 * 249) + 1014), HEX2DEC("F800"))+BITWISE_AND(INT(((D199 * 253) + 505) / 32), HEX2DEC("07E0"))+INT(((E199 * 249) + 1014) / 2048),4)</f>
        <v>57F3</v>
      </c>
      <c r="G199" t="str">
        <f>"Const Color_" &amp; A199 &amp; " = &amp;H" &amp; F199</f>
        <v>Const Color_seagreen1 = &amp;H57F3</v>
      </c>
    </row>
    <row r="200" spans="1:7" ht="15" customHeight="1">
      <c r="A200" s="557" t="s">
        <v>240</v>
      </c>
      <c r="B200" s="201"/>
      <c r="C200" s="555">
        <v>78</v>
      </c>
      <c r="D200" s="555">
        <v>238</v>
      </c>
      <c r="E200" s="555">
        <v>148</v>
      </c>
      <c r="F200" s="552" t="str">
        <f>DEC2HEX(BITWISE_AND(((C200 * 249) + 1014), HEX2DEC("F800"))+BITWISE_AND(INT(((D200 * 253) + 505) / 32), HEX2DEC("07E0"))+INT(((E200 * 249) + 1014) / 2048),4)</f>
        <v>4F72</v>
      </c>
      <c r="G200" t="str">
        <f>"Const Color_" &amp; A200 &amp; " = &amp;H" &amp; F200</f>
        <v>Const Color_seagreen2 = &amp;H4F72</v>
      </c>
    </row>
    <row r="201" spans="1:7" ht="15" customHeight="1">
      <c r="A201" s="557" t="s">
        <v>241</v>
      </c>
      <c r="B201" s="202"/>
      <c r="C201" s="555">
        <v>67</v>
      </c>
      <c r="D201" s="555">
        <v>205</v>
      </c>
      <c r="E201" s="555">
        <v>128</v>
      </c>
      <c r="F201" s="552" t="str">
        <f>DEC2HEX(BITWISE_AND(((C201 * 249) + 1014), HEX2DEC("F800"))+BITWISE_AND(INT(((D201 * 253) + 505) / 32), HEX2DEC("07E0"))+INT(((E201 * 249) + 1014) / 2048),4)</f>
        <v>4670</v>
      </c>
      <c r="G201" t="str">
        <f>"Const Color_" &amp; A201 &amp; " = &amp;H" &amp; F201</f>
        <v>Const Color_seagreen3 = &amp;H4670</v>
      </c>
    </row>
    <row r="202" spans="1:7" ht="15" customHeight="1">
      <c r="A202" s="557" t="s">
        <v>519</v>
      </c>
      <c r="B202" s="203"/>
      <c r="C202" s="555">
        <v>46</v>
      </c>
      <c r="D202" s="555">
        <v>139</v>
      </c>
      <c r="E202" s="555">
        <v>87</v>
      </c>
      <c r="F202" s="552" t="str">
        <f>DEC2HEX(BITWISE_AND(((C202 * 249) + 1014), HEX2DEC("F800"))+BITWISE_AND(INT(((D202 * 253) + 505) / 32), HEX2DEC("07E0"))+INT(((E202 * 249) + 1014) / 2048),4)</f>
        <v>344B</v>
      </c>
      <c r="G202" t="str">
        <f>"Const Color_" &amp; A202 &amp; " = &amp;H" &amp; F202</f>
        <v>Const Color_seagreen = &amp;H344B</v>
      </c>
    </row>
    <row r="203" spans="1:7" ht="15" customHeight="1">
      <c r="A203" s="557" t="s">
        <v>53</v>
      </c>
      <c r="B203" s="204"/>
      <c r="C203" s="555">
        <v>0</v>
      </c>
      <c r="D203" s="555">
        <v>201</v>
      </c>
      <c r="E203" s="555">
        <v>87</v>
      </c>
      <c r="F203" s="552" t="str">
        <f>DEC2HEX(BITWISE_AND(((C203 * 249) + 1014), HEX2DEC("F800"))+BITWISE_AND(INT(((D203 * 253) + 505) / 32), HEX2DEC("07E0"))+INT(((E203 * 249) + 1014) / 2048),4)</f>
        <v>064B</v>
      </c>
      <c r="G203" t="str">
        <f>"Const Color_" &amp; A203 &amp; " = &amp;H" &amp; F203</f>
        <v>Const Color_emeraldgreen = &amp;H064B</v>
      </c>
    </row>
    <row r="204" spans="1:7" ht="15" customHeight="1">
      <c r="A204" s="557" t="s">
        <v>54</v>
      </c>
      <c r="B204" s="205"/>
      <c r="C204" s="555">
        <v>189</v>
      </c>
      <c r="D204" s="555">
        <v>252</v>
      </c>
      <c r="E204" s="555">
        <v>201</v>
      </c>
      <c r="F204" s="552" t="str">
        <f>DEC2HEX(BITWISE_AND(((C204 * 249) + 1014), HEX2DEC("F800"))+BITWISE_AND(INT(((D204 * 253) + 505) / 32), HEX2DEC("07E0"))+INT(((E204 * 249) + 1014) / 2048),4)</f>
        <v>BFD8</v>
      </c>
      <c r="G204" t="str">
        <f>"Const Color_" &amp; A204 &amp; " = &amp;H" &amp; F204</f>
        <v>Const Color_mint = &amp;HBFD8</v>
      </c>
    </row>
    <row r="205" spans="1:7" ht="15" customHeight="1">
      <c r="A205" s="557" t="s">
        <v>55</v>
      </c>
      <c r="B205" s="206"/>
      <c r="C205" s="555">
        <v>61</v>
      </c>
      <c r="D205" s="555">
        <v>145</v>
      </c>
      <c r="E205" s="555">
        <v>64</v>
      </c>
      <c r="F205" s="552" t="str">
        <f>DEC2HEX(BITWISE_AND(((C205 * 249) + 1014), HEX2DEC("F800"))+BITWISE_AND(INT(((D205 * 253) + 505) / 32), HEX2DEC("07E0"))+INT(((E205 * 249) + 1014) / 2048),4)</f>
        <v>3C88</v>
      </c>
      <c r="G205" t="str">
        <f>"Const Color_" &amp; A205 &amp; " = &amp;H" &amp; F205</f>
        <v>Const Color_cobaltgreen = &amp;H3C88</v>
      </c>
    </row>
    <row r="206" spans="1:7" ht="15" customHeight="1">
      <c r="A206" s="557" t="s">
        <v>520</v>
      </c>
      <c r="B206" s="207"/>
      <c r="C206" s="555">
        <v>240</v>
      </c>
      <c r="D206" s="555">
        <v>255</v>
      </c>
      <c r="E206" s="555">
        <v>240</v>
      </c>
      <c r="F206" s="552" t="str">
        <f>DEC2HEX(BITWISE_AND(((C206 * 249) + 1014), HEX2DEC("F800"))+BITWISE_AND(INT(((D206 * 253) + 505) / 32), HEX2DEC("07E0"))+INT(((E206 * 249) + 1014) / 2048),4)</f>
        <v>EFFD</v>
      </c>
      <c r="G206" t="str">
        <f>"Const Color_" &amp; A206 &amp; " = &amp;H" &amp; F206</f>
        <v>Const Color_honeydew = &amp;HEFFD</v>
      </c>
    </row>
    <row r="207" spans="1:7" ht="15" customHeight="1">
      <c r="A207" s="557" t="s">
        <v>242</v>
      </c>
      <c r="B207" s="208"/>
      <c r="C207" s="555">
        <v>224</v>
      </c>
      <c r="D207" s="555">
        <v>238</v>
      </c>
      <c r="E207" s="555">
        <v>224</v>
      </c>
      <c r="F207" s="552" t="str">
        <f>DEC2HEX(BITWISE_AND(((C207 * 249) + 1014), HEX2DEC("F800"))+BITWISE_AND(INT(((D207 * 253) + 505) / 32), HEX2DEC("07E0"))+INT(((E207 * 249) + 1014) / 2048),4)</f>
        <v>DF7B</v>
      </c>
      <c r="G207" t="str">
        <f>"Const Color_" &amp; A207 &amp; " = &amp;H" &amp; F207</f>
        <v>Const Color_honeydew2 = &amp;HDF7B</v>
      </c>
    </row>
    <row r="208" spans="1:7" ht="15" customHeight="1">
      <c r="A208" s="557" t="s">
        <v>243</v>
      </c>
      <c r="B208" s="209"/>
      <c r="C208" s="555">
        <v>193</v>
      </c>
      <c r="D208" s="555">
        <v>205</v>
      </c>
      <c r="E208" s="555">
        <v>193</v>
      </c>
      <c r="F208" s="552" t="str">
        <f>DEC2HEX(BITWISE_AND(((C208 * 249) + 1014), HEX2DEC("F800"))+BITWISE_AND(INT(((D208 * 253) + 505) / 32), HEX2DEC("07E0"))+INT(((E208 * 249) + 1014) / 2048),4)</f>
        <v>BE77</v>
      </c>
      <c r="G208" t="str">
        <f>"Const Color_" &amp; A208 &amp; " = &amp;H" &amp; F208</f>
        <v>Const Color_honeydew3 = &amp;HBE77</v>
      </c>
    </row>
    <row r="209" spans="1:7" ht="15" customHeight="1">
      <c r="A209" s="557" t="s">
        <v>244</v>
      </c>
      <c r="B209" s="210"/>
      <c r="C209" s="555">
        <v>131</v>
      </c>
      <c r="D209" s="555">
        <v>139</v>
      </c>
      <c r="E209" s="555">
        <v>131</v>
      </c>
      <c r="F209" s="552" t="str">
        <f>DEC2HEX(BITWISE_AND(((C209 * 249) + 1014), HEX2DEC("F800"))+BITWISE_AND(INT(((D209 * 253) + 505) / 32), HEX2DEC("07E0"))+INT(((E209 * 249) + 1014) / 2048),4)</f>
        <v>8450</v>
      </c>
      <c r="G209" t="str">
        <f>"Const Color_" &amp; A209 &amp; " = &amp;H" &amp; F209</f>
        <v>Const Color_honeydew4 = &amp;H8450</v>
      </c>
    </row>
    <row r="210" spans="1:7" ht="15" customHeight="1">
      <c r="A210" s="557" t="s">
        <v>56</v>
      </c>
      <c r="B210" s="211"/>
      <c r="C210" s="555">
        <v>143</v>
      </c>
      <c r="D210" s="555">
        <v>188</v>
      </c>
      <c r="E210" s="555">
        <v>143</v>
      </c>
      <c r="F210" s="552" t="str">
        <f>DEC2HEX(BITWISE_AND(((C210 * 249) + 1014), HEX2DEC("F800"))+BITWISE_AND(INT(((D210 * 253) + 505) / 32), HEX2DEC("07E0"))+INT(((E210 * 249) + 1014) / 2048),4)</f>
        <v>8DD1</v>
      </c>
      <c r="G210" t="str">
        <f>"Const Color_" &amp; A210 &amp; " = &amp;H" &amp; F210</f>
        <v>Const Color_darkseagreen = &amp;H8DD1</v>
      </c>
    </row>
    <row r="211" spans="1:7" ht="15" customHeight="1">
      <c r="A211" s="557" t="s">
        <v>245</v>
      </c>
      <c r="B211" s="212"/>
      <c r="C211" s="555">
        <v>193</v>
      </c>
      <c r="D211" s="555">
        <v>255</v>
      </c>
      <c r="E211" s="555">
        <v>193</v>
      </c>
      <c r="F211" s="552" t="str">
        <f>DEC2HEX(BITWISE_AND(((C211 * 249) + 1014), HEX2DEC("F800"))+BITWISE_AND(INT(((D211 * 253) + 505) / 32), HEX2DEC("07E0"))+INT(((E211 * 249) + 1014) / 2048),4)</f>
        <v>BFF7</v>
      </c>
      <c r="G211" t="str">
        <f>"Const Color_" &amp; A211 &amp; " = &amp;H" &amp; F211</f>
        <v>Const Color_darkseagreen1 = &amp;HBFF7</v>
      </c>
    </row>
    <row r="212" spans="1:7" ht="15" customHeight="1">
      <c r="A212" s="557" t="s">
        <v>246</v>
      </c>
      <c r="B212" s="213"/>
      <c r="C212" s="555">
        <v>180</v>
      </c>
      <c r="D212" s="555">
        <v>238</v>
      </c>
      <c r="E212" s="555">
        <v>180</v>
      </c>
      <c r="F212" s="552" t="str">
        <f>DEC2HEX(BITWISE_AND(((C212 * 249) + 1014), HEX2DEC("F800"))+BITWISE_AND(INT(((D212 * 253) + 505) / 32), HEX2DEC("07E0"))+INT(((E212 * 249) + 1014) / 2048),4)</f>
        <v>B776</v>
      </c>
      <c r="G212" t="str">
        <f>"Const Color_" &amp; A212 &amp; " = &amp;H" &amp; F212</f>
        <v>Const Color_darkseagreen2 = &amp;HB776</v>
      </c>
    </row>
    <row r="213" spans="1:7" ht="15" customHeight="1">
      <c r="A213" s="557" t="s">
        <v>247</v>
      </c>
      <c r="B213" s="214"/>
      <c r="C213" s="555">
        <v>155</v>
      </c>
      <c r="D213" s="555">
        <v>205</v>
      </c>
      <c r="E213" s="555">
        <v>155</v>
      </c>
      <c r="F213" s="552" t="str">
        <f>DEC2HEX(BITWISE_AND(((C213 * 249) + 1014), HEX2DEC("F800"))+BITWISE_AND(INT(((D213 * 253) + 505) / 32), HEX2DEC("07E0"))+INT(((E213 * 249) + 1014) / 2048),4)</f>
        <v>9E73</v>
      </c>
      <c r="G213" t="str">
        <f>"Const Color_" &amp; A213 &amp; " = &amp;H" &amp; F213</f>
        <v>Const Color_darkseagreen3 = &amp;H9E73</v>
      </c>
    </row>
    <row r="214" spans="1:7" ht="15" customHeight="1">
      <c r="A214" s="557" t="s">
        <v>248</v>
      </c>
      <c r="B214" s="215"/>
      <c r="C214" s="555">
        <v>105</v>
      </c>
      <c r="D214" s="555">
        <v>139</v>
      </c>
      <c r="E214" s="555">
        <v>105</v>
      </c>
      <c r="F214" s="552" t="str">
        <f>DEC2HEX(BITWISE_AND(((C214 * 249) + 1014), HEX2DEC("F800"))+BITWISE_AND(INT(((D214 * 253) + 505) / 32), HEX2DEC("07E0"))+INT(((E214 * 249) + 1014) / 2048),4)</f>
        <v>6C4D</v>
      </c>
      <c r="G214" t="str">
        <f>"Const Color_" &amp; A214 &amp; " = &amp;H" &amp; F214</f>
        <v>Const Color_darkseagreen4 = &amp;H6C4D</v>
      </c>
    </row>
    <row r="215" spans="1:7" ht="15" customHeight="1">
      <c r="A215" s="557" t="s">
        <v>57</v>
      </c>
      <c r="B215" s="216"/>
      <c r="C215" s="555">
        <v>152</v>
      </c>
      <c r="D215" s="555">
        <v>251</v>
      </c>
      <c r="E215" s="555">
        <v>152</v>
      </c>
      <c r="F215" s="552" t="str">
        <f>DEC2HEX(BITWISE_AND(((C215 * 249) + 1014), HEX2DEC("F800"))+BITWISE_AND(INT(((D215 * 253) + 505) / 32), HEX2DEC("07E0"))+INT(((E215 * 249) + 1014) / 2048),4)</f>
        <v>97D2</v>
      </c>
      <c r="G215" t="str">
        <f>"Const Color_" &amp; A215 &amp; " = &amp;H" &amp; F215</f>
        <v>Const Color_palegreen = &amp;H97D2</v>
      </c>
    </row>
    <row r="216" spans="1:7" ht="15" customHeight="1">
      <c r="A216" s="557" t="s">
        <v>249</v>
      </c>
      <c r="B216" s="217"/>
      <c r="C216" s="555">
        <v>154</v>
      </c>
      <c r="D216" s="555">
        <v>255</v>
      </c>
      <c r="E216" s="555">
        <v>154</v>
      </c>
      <c r="F216" s="552" t="str">
        <f>DEC2HEX(BITWISE_AND(((C216 * 249) + 1014), HEX2DEC("F800"))+BITWISE_AND(INT(((D216 * 253) + 505) / 32), HEX2DEC("07E0"))+INT(((E216 * 249) + 1014) / 2048),4)</f>
        <v>9FF3</v>
      </c>
      <c r="G216" t="str">
        <f>"Const Color_" &amp; A216 &amp; " = &amp;H" &amp; F216</f>
        <v>Const Color_palegreen1 = &amp;H9FF3</v>
      </c>
    </row>
    <row r="217" spans="1:7" ht="15" customHeight="1">
      <c r="A217" s="557" t="s">
        <v>508</v>
      </c>
      <c r="B217" s="218"/>
      <c r="C217" s="555">
        <v>144</v>
      </c>
      <c r="D217" s="555">
        <v>238</v>
      </c>
      <c r="E217" s="555">
        <v>144</v>
      </c>
      <c r="F217" s="552" t="str">
        <f>DEC2HEX(BITWISE_AND(((C217 * 249) + 1014), HEX2DEC("F800"))+BITWISE_AND(INT(((D217 * 253) + 505) / 32), HEX2DEC("07E0"))+INT(((E217 * 249) + 1014) / 2048),4)</f>
        <v>9772</v>
      </c>
      <c r="G217" t="str">
        <f>"Const Color_" &amp; A217 &amp; " = &amp;H" &amp; F217</f>
        <v>Const Color_lightgreen = &amp;H9772</v>
      </c>
    </row>
    <row r="218" spans="1:7" ht="15" customHeight="1">
      <c r="A218" s="557" t="s">
        <v>250</v>
      </c>
      <c r="B218" s="219"/>
      <c r="C218" s="555">
        <v>124</v>
      </c>
      <c r="D218" s="555">
        <v>205</v>
      </c>
      <c r="E218" s="555">
        <v>124</v>
      </c>
      <c r="F218" s="552" t="str">
        <f>DEC2HEX(BITWISE_AND(((C218 * 249) + 1014), HEX2DEC("F800"))+BITWISE_AND(INT(((D218 * 253) + 505) / 32), HEX2DEC("07E0"))+INT(((E218 * 249) + 1014) / 2048),4)</f>
        <v>7E6F</v>
      </c>
      <c r="G218" t="str">
        <f>"Const Color_" &amp; A218 &amp; " = &amp;H" &amp; F218</f>
        <v>Const Color_palegreen3 = &amp;H7E6F</v>
      </c>
    </row>
    <row r="219" spans="1:7" ht="15" customHeight="1">
      <c r="A219" s="557" t="s">
        <v>251</v>
      </c>
      <c r="B219" s="220"/>
      <c r="C219" s="555">
        <v>84</v>
      </c>
      <c r="D219" s="555">
        <v>139</v>
      </c>
      <c r="E219" s="555">
        <v>84</v>
      </c>
      <c r="F219" s="552" t="str">
        <f>DEC2HEX(BITWISE_AND(((C219 * 249) + 1014), HEX2DEC("F800"))+BITWISE_AND(INT(((D219 * 253) + 505) / 32), HEX2DEC("07E0"))+INT(((E219 * 249) + 1014) / 2048),4)</f>
        <v>544A</v>
      </c>
      <c r="G219" t="str">
        <f>"Const Color_" &amp; A219 &amp; " = &amp;H" &amp; F219</f>
        <v>Const Color_palegreen4 = &amp;H544A</v>
      </c>
    </row>
    <row r="220" spans="1:7" ht="15" customHeight="1">
      <c r="A220" s="557" t="s">
        <v>58</v>
      </c>
      <c r="B220" s="221"/>
      <c r="C220" s="555">
        <v>50</v>
      </c>
      <c r="D220" s="555">
        <v>205</v>
      </c>
      <c r="E220" s="555">
        <v>50</v>
      </c>
      <c r="F220" s="552" t="str">
        <f>DEC2HEX(BITWISE_AND(((C220 * 249) + 1014), HEX2DEC("F800"))+BITWISE_AND(INT(((D220 * 253) + 505) / 32), HEX2DEC("07E0"))+INT(((E220 * 249) + 1014) / 2048),4)</f>
        <v>3666</v>
      </c>
      <c r="G220" t="str">
        <f>"Const Color_" &amp; A220 &amp; " = &amp;H" &amp; F220</f>
        <v>Const Color_limegreen = &amp;H3666</v>
      </c>
    </row>
    <row r="221" spans="1:7" ht="15" customHeight="1">
      <c r="A221" s="557" t="s">
        <v>59</v>
      </c>
      <c r="B221" s="222"/>
      <c r="C221" s="555">
        <v>34</v>
      </c>
      <c r="D221" s="555">
        <v>139</v>
      </c>
      <c r="E221" s="555">
        <v>34</v>
      </c>
      <c r="F221" s="552" t="str">
        <f>DEC2HEX(BITWISE_AND(((C221 * 249) + 1014), HEX2DEC("F800"))+BITWISE_AND(INT(((D221 * 253) + 505) / 32), HEX2DEC("07E0"))+INT(((E221 * 249) + 1014) / 2048),4)</f>
        <v>2444</v>
      </c>
      <c r="G221" t="str">
        <f>"Const Color_" &amp; A221 &amp; " = &amp;H" &amp; F221</f>
        <v>Const Color_forestgreen = &amp;H2444</v>
      </c>
    </row>
    <row r="222" spans="1:7" ht="15" customHeight="1">
      <c r="A222" s="557" t="s">
        <v>521</v>
      </c>
      <c r="B222" s="223"/>
      <c r="C222" s="555">
        <v>0</v>
      </c>
      <c r="D222" s="555">
        <v>255</v>
      </c>
      <c r="E222" s="555">
        <v>0</v>
      </c>
      <c r="F222" s="552" t="str">
        <f>DEC2HEX(BITWISE_AND(((C222 * 249) + 1014), HEX2DEC("F800"))+BITWISE_AND(INT(((D222 * 253) + 505) / 32), HEX2DEC("07E0"))+INT(((E222 * 249) + 1014) / 2048),4)</f>
        <v>07E0</v>
      </c>
      <c r="G222" t="str">
        <f>"Const Color_" &amp; A222 &amp; " = &amp;H" &amp; F222</f>
        <v>Const Color_lime = &amp;H07E0</v>
      </c>
    </row>
    <row r="223" spans="1:7" ht="15" customHeight="1">
      <c r="A223" s="557" t="s">
        <v>252</v>
      </c>
      <c r="B223" s="224"/>
      <c r="C223" s="555">
        <v>0</v>
      </c>
      <c r="D223" s="555">
        <v>238</v>
      </c>
      <c r="E223" s="555">
        <v>0</v>
      </c>
      <c r="F223" s="552" t="str">
        <f>DEC2HEX(BITWISE_AND(((C223 * 249) + 1014), HEX2DEC("F800"))+BITWISE_AND(INT(((D223 * 253) + 505) / 32), HEX2DEC("07E0"))+INT(((E223 * 249) + 1014) / 2048),4)</f>
        <v>0760</v>
      </c>
      <c r="G223" t="str">
        <f>"Const Color_" &amp; A223 &amp; " = &amp;H" &amp; F223</f>
        <v>Const Color_green2 = &amp;H0760</v>
      </c>
    </row>
    <row r="224" spans="1:7" ht="15" customHeight="1">
      <c r="A224" s="557" t="s">
        <v>253</v>
      </c>
      <c r="B224" s="225"/>
      <c r="C224" s="555">
        <v>0</v>
      </c>
      <c r="D224" s="555">
        <v>205</v>
      </c>
      <c r="E224" s="555">
        <v>0</v>
      </c>
      <c r="F224" s="552" t="str">
        <f>DEC2HEX(BITWISE_AND(((C224 * 249) + 1014), HEX2DEC("F800"))+BITWISE_AND(INT(((D224 * 253) + 505) / 32), HEX2DEC("07E0"))+INT(((E224 * 249) + 1014) / 2048),4)</f>
        <v>0660</v>
      </c>
      <c r="G224" t="str">
        <f>"Const Color_" &amp; A224 &amp; " = &amp;H" &amp; F224</f>
        <v>Const Color_green3 = &amp;H0660</v>
      </c>
    </row>
    <row r="225" spans="1:7" ht="15" customHeight="1">
      <c r="A225" s="557" t="s">
        <v>254</v>
      </c>
      <c r="B225" s="226"/>
      <c r="C225" s="555">
        <v>0</v>
      </c>
      <c r="D225" s="555">
        <v>139</v>
      </c>
      <c r="E225" s="555">
        <v>0</v>
      </c>
      <c r="F225" s="552" t="str">
        <f>DEC2HEX(BITWISE_AND(((C225 * 249) + 1014), HEX2DEC("F800"))+BITWISE_AND(INT(((D225 * 253) + 505) / 32), HEX2DEC("07E0"))+INT(((E225 * 249) + 1014) / 2048),4)</f>
        <v>0440</v>
      </c>
      <c r="G225" t="str">
        <f>"Const Color_" &amp; A225 &amp; " = &amp;H" &amp; F225</f>
        <v>Const Color_green4 = &amp;H0440</v>
      </c>
    </row>
    <row r="226" spans="1:7" ht="15" customHeight="1">
      <c r="A226" s="557" t="s">
        <v>509</v>
      </c>
      <c r="B226" s="227"/>
      <c r="C226" s="555">
        <v>0</v>
      </c>
      <c r="D226" s="555">
        <v>128</v>
      </c>
      <c r="E226" s="555">
        <v>0</v>
      </c>
      <c r="F226" s="552" t="str">
        <f>DEC2HEX(BITWISE_AND(((C226 * 249) + 1014), HEX2DEC("F800"))+BITWISE_AND(INT(((D226 * 253) + 505) / 32), HEX2DEC("07E0"))+INT(((E226 * 249) + 1014) / 2048),4)</f>
        <v>0400</v>
      </c>
      <c r="G226" t="str">
        <f>"Const Color_" &amp; A226 &amp; " = &amp;H" &amp; F226</f>
        <v>Const Color_green = &amp;H0400</v>
      </c>
    </row>
    <row r="227" spans="1:7" ht="15" customHeight="1">
      <c r="A227" s="557" t="s">
        <v>60</v>
      </c>
      <c r="B227" s="228"/>
      <c r="C227" s="555">
        <v>0</v>
      </c>
      <c r="D227" s="555">
        <v>100</v>
      </c>
      <c r="E227" s="555">
        <v>0</v>
      </c>
      <c r="F227" s="552" t="str">
        <f>DEC2HEX(BITWISE_AND(((C227 * 249) + 1014), HEX2DEC("F800"))+BITWISE_AND(INT(((D227 * 253) + 505) / 32), HEX2DEC("07E0"))+INT(((E227 * 249) + 1014) / 2048),4)</f>
        <v>0320</v>
      </c>
      <c r="G227" t="str">
        <f>"Const Color_" &amp; A227 &amp; " = &amp;H" &amp; F227</f>
        <v>Const Color_darkgreen = &amp;H0320</v>
      </c>
    </row>
    <row r="228" spans="1:7" ht="15" customHeight="1">
      <c r="A228" s="557" t="s">
        <v>61</v>
      </c>
      <c r="B228" s="229"/>
      <c r="C228" s="555">
        <v>48</v>
      </c>
      <c r="D228" s="555">
        <v>128</v>
      </c>
      <c r="E228" s="555">
        <v>20</v>
      </c>
      <c r="F228" s="552" t="str">
        <f>DEC2HEX(BITWISE_AND(((C228 * 249) + 1014), HEX2DEC("F800"))+BITWISE_AND(INT(((D228 * 253) + 505) / 32), HEX2DEC("07E0"))+INT(((E228 * 249) + 1014) / 2048),4)</f>
        <v>3402</v>
      </c>
      <c r="G228" t="str">
        <f>"Const Color_" &amp; A228 &amp; " = &amp;H" &amp; F228</f>
        <v>Const Color_sapgreen = &amp;H3402</v>
      </c>
    </row>
    <row r="229" spans="1:7" ht="15" customHeight="1">
      <c r="A229" s="557" t="s">
        <v>62</v>
      </c>
      <c r="B229" s="230"/>
      <c r="C229" s="555">
        <v>124</v>
      </c>
      <c r="D229" s="555">
        <v>252</v>
      </c>
      <c r="E229" s="555">
        <v>0</v>
      </c>
      <c r="F229" s="552" t="str">
        <f>DEC2HEX(BITWISE_AND(((C229 * 249) + 1014), HEX2DEC("F800"))+BITWISE_AND(INT(((D229 * 253) + 505) / 32), HEX2DEC("07E0"))+INT(((E229 * 249) + 1014) / 2048),4)</f>
        <v>7FC0</v>
      </c>
      <c r="G229" t="str">
        <f>"Const Color_" &amp; A229 &amp; " = &amp;H" &amp; F229</f>
        <v>Const Color_lawngreen = &amp;H7FC0</v>
      </c>
    </row>
    <row r="230" spans="1:7" ht="15" customHeight="1">
      <c r="A230" s="557" t="s">
        <v>522</v>
      </c>
      <c r="B230" s="231"/>
      <c r="C230" s="555">
        <v>127</v>
      </c>
      <c r="D230" s="555">
        <v>255</v>
      </c>
      <c r="E230" s="555">
        <v>0</v>
      </c>
      <c r="F230" s="552" t="str">
        <f>DEC2HEX(BITWISE_AND(((C230 * 249) + 1014), HEX2DEC("F800"))+BITWISE_AND(INT(((D230 * 253) + 505) / 32), HEX2DEC("07E0"))+INT(((E230 * 249) + 1014) / 2048),4)</f>
        <v>7FE0</v>
      </c>
      <c r="G230" t="str">
        <f>"Const Color_" &amp; A230 &amp; " = &amp;H" &amp; F230</f>
        <v>Const Color_chartreuse = &amp;H7FE0</v>
      </c>
    </row>
    <row r="231" spans="1:7" ht="15" customHeight="1">
      <c r="A231" s="557" t="s">
        <v>255</v>
      </c>
      <c r="B231" s="232"/>
      <c r="C231" s="555">
        <v>118</v>
      </c>
      <c r="D231" s="555">
        <v>238</v>
      </c>
      <c r="E231" s="555">
        <v>0</v>
      </c>
      <c r="F231" s="552" t="str">
        <f>DEC2HEX(BITWISE_AND(((C231 * 249) + 1014), HEX2DEC("F800"))+BITWISE_AND(INT(((D231 * 253) + 505) / 32), HEX2DEC("07E0"))+INT(((E231 * 249) + 1014) / 2048),4)</f>
        <v>7760</v>
      </c>
      <c r="G231" t="str">
        <f>"Const Color_" &amp; A231 &amp; " = &amp;H" &amp; F231</f>
        <v>Const Color_chartreuse2 = &amp;H7760</v>
      </c>
    </row>
    <row r="232" spans="1:7" ht="15" customHeight="1">
      <c r="A232" s="557" t="s">
        <v>256</v>
      </c>
      <c r="B232" s="233"/>
      <c r="C232" s="555">
        <v>102</v>
      </c>
      <c r="D232" s="555">
        <v>205</v>
      </c>
      <c r="E232" s="555">
        <v>0</v>
      </c>
      <c r="F232" s="552" t="str">
        <f>DEC2HEX(BITWISE_AND(((C232 * 249) + 1014), HEX2DEC("F800"))+BITWISE_AND(INT(((D232 * 253) + 505) / 32), HEX2DEC("07E0"))+INT(((E232 * 249) + 1014) / 2048),4)</f>
        <v>6660</v>
      </c>
      <c r="G232" t="str">
        <f>"Const Color_" &amp; A232 &amp; " = &amp;H" &amp; F232</f>
        <v>Const Color_chartreuse3 = &amp;H6660</v>
      </c>
    </row>
    <row r="233" spans="1:7" ht="15" customHeight="1">
      <c r="A233" s="557" t="s">
        <v>257</v>
      </c>
      <c r="B233" s="234"/>
      <c r="C233" s="555">
        <v>69</v>
      </c>
      <c r="D233" s="555">
        <v>139</v>
      </c>
      <c r="E233" s="555">
        <v>0</v>
      </c>
      <c r="F233" s="552" t="str">
        <f>DEC2HEX(BITWISE_AND(((C233 * 249) + 1014), HEX2DEC("F800"))+BITWISE_AND(INT(((D233 * 253) + 505) / 32), HEX2DEC("07E0"))+INT(((E233 * 249) + 1014) / 2048),4)</f>
        <v>4440</v>
      </c>
      <c r="G233" t="str">
        <f>"Const Color_" &amp; A233 &amp; " = &amp;H" &amp; F233</f>
        <v>Const Color_chartreuse4 = &amp;H4440</v>
      </c>
    </row>
    <row r="234" spans="1:7" ht="15" customHeight="1">
      <c r="A234" s="557" t="s">
        <v>63</v>
      </c>
      <c r="B234" s="235"/>
      <c r="C234" s="555">
        <v>173</v>
      </c>
      <c r="D234" s="555">
        <v>255</v>
      </c>
      <c r="E234" s="555">
        <v>47</v>
      </c>
      <c r="F234" s="552" t="str">
        <f>DEC2HEX(BITWISE_AND(((C234 * 249) + 1014), HEX2DEC("F800"))+BITWISE_AND(INT(((D234 * 253) + 505) / 32), HEX2DEC("07E0"))+INT(((E234 * 249) + 1014) / 2048),4)</f>
        <v>AFE6</v>
      </c>
      <c r="G234" t="str">
        <f>"Const Color_" &amp; A234 &amp; " = &amp;H" &amp; F234</f>
        <v>Const Color_greenyellow = &amp;HAFE6</v>
      </c>
    </row>
    <row r="235" spans="1:7" ht="15" customHeight="1">
      <c r="A235" s="557" t="s">
        <v>258</v>
      </c>
      <c r="B235" s="236"/>
      <c r="C235" s="555">
        <v>202</v>
      </c>
      <c r="D235" s="555">
        <v>255</v>
      </c>
      <c r="E235" s="555">
        <v>112</v>
      </c>
      <c r="F235" s="552" t="str">
        <f>DEC2HEX(BITWISE_AND(((C235 * 249) + 1014), HEX2DEC("F800"))+BITWISE_AND(INT(((D235 * 253) + 505) / 32), HEX2DEC("07E0"))+INT(((E235 * 249) + 1014) / 2048),4)</f>
        <v>CFEE</v>
      </c>
      <c r="G235" t="str">
        <f>"Const Color_" &amp; A235 &amp; " = &amp;H" &amp; F235</f>
        <v>Const Color_darkolivegreen1 = &amp;HCFEE</v>
      </c>
    </row>
    <row r="236" spans="1:7" ht="15" customHeight="1">
      <c r="A236" s="557" t="s">
        <v>259</v>
      </c>
      <c r="B236" s="237"/>
      <c r="C236" s="555">
        <v>188</v>
      </c>
      <c r="D236" s="555">
        <v>238</v>
      </c>
      <c r="E236" s="555">
        <v>104</v>
      </c>
      <c r="F236" s="552" t="str">
        <f>DEC2HEX(BITWISE_AND(((C236 * 249) + 1014), HEX2DEC("F800"))+BITWISE_AND(INT(((D236 * 253) + 505) / 32), HEX2DEC("07E0"))+INT(((E236 * 249) + 1014) / 2048),4)</f>
        <v>BF6D</v>
      </c>
      <c r="G236" t="str">
        <f>"Const Color_" &amp; A236 &amp; " = &amp;H" &amp; F236</f>
        <v>Const Color_darkolivegreen2 = &amp;HBF6D</v>
      </c>
    </row>
    <row r="237" spans="1:7" ht="15" customHeight="1">
      <c r="A237" s="557" t="s">
        <v>260</v>
      </c>
      <c r="B237" s="238"/>
      <c r="C237" s="555">
        <v>162</v>
      </c>
      <c r="D237" s="555">
        <v>205</v>
      </c>
      <c r="E237" s="555">
        <v>90</v>
      </c>
      <c r="F237" s="552" t="str">
        <f>DEC2HEX(BITWISE_AND(((C237 * 249) + 1014), HEX2DEC("F800"))+BITWISE_AND(INT(((D237 * 253) + 505) / 32), HEX2DEC("07E0"))+INT(((E237 * 249) + 1014) / 2048),4)</f>
        <v>A66B</v>
      </c>
      <c r="G237" t="str">
        <f>"Const Color_" &amp; A237 &amp; " = &amp;H" &amp; F237</f>
        <v>Const Color_darkolivegreen3 = &amp;HA66B</v>
      </c>
    </row>
    <row r="238" spans="1:7" ht="15" customHeight="1">
      <c r="A238" s="557" t="s">
        <v>261</v>
      </c>
      <c r="B238" s="239"/>
      <c r="C238" s="555">
        <v>110</v>
      </c>
      <c r="D238" s="555">
        <v>139</v>
      </c>
      <c r="E238" s="555">
        <v>61</v>
      </c>
      <c r="F238" s="552" t="str">
        <f>DEC2HEX(BITWISE_AND(((C238 * 249) + 1014), HEX2DEC("F800"))+BITWISE_AND(INT(((D238 * 253) + 505) / 32), HEX2DEC("07E0"))+INT(((E238 * 249) + 1014) / 2048),4)</f>
        <v>6C47</v>
      </c>
      <c r="G238" t="str">
        <f>"Const Color_" &amp; A238 &amp; " = &amp;H" &amp; F238</f>
        <v>Const Color_darkolivegreen4 = &amp;H6C47</v>
      </c>
    </row>
    <row r="239" spans="1:7" ht="15" customHeight="1">
      <c r="A239" s="557" t="s">
        <v>64</v>
      </c>
      <c r="B239" s="240"/>
      <c r="C239" s="555">
        <v>85</v>
      </c>
      <c r="D239" s="555">
        <v>107</v>
      </c>
      <c r="E239" s="555">
        <v>47</v>
      </c>
      <c r="F239" s="552" t="str">
        <f>DEC2HEX(BITWISE_AND(((C239 * 249) + 1014), HEX2DEC("F800"))+BITWISE_AND(INT(((D239 * 253) + 505) / 32), HEX2DEC("07E0"))+INT(((E239 * 249) + 1014) / 2048),4)</f>
        <v>5346</v>
      </c>
      <c r="G239" t="str">
        <f>"Const Color_" &amp; A239 &amp; " = &amp;H" &amp; F239</f>
        <v>Const Color_darkolivegreen = &amp;H5346</v>
      </c>
    </row>
    <row r="240" spans="1:7" ht="15" customHeight="1">
      <c r="A240" s="557" t="s">
        <v>65</v>
      </c>
      <c r="B240" s="241"/>
      <c r="C240" s="555">
        <v>107</v>
      </c>
      <c r="D240" s="555">
        <v>142</v>
      </c>
      <c r="E240" s="555">
        <v>35</v>
      </c>
      <c r="F240" s="552" t="str">
        <f>DEC2HEX(BITWISE_AND(((C240 * 249) + 1014), HEX2DEC("F800"))+BITWISE_AND(INT(((D240 * 253) + 505) / 32), HEX2DEC("07E0"))+INT(((E240 * 249) + 1014) / 2048),4)</f>
        <v>6C64</v>
      </c>
      <c r="G240" t="str">
        <f>"Const Color_" &amp; A240 &amp; " = &amp;H" &amp; F240</f>
        <v>Const Color_olivedrab = &amp;H6C64</v>
      </c>
    </row>
    <row r="241" spans="1:7" ht="15" customHeight="1">
      <c r="A241" s="557" t="s">
        <v>262</v>
      </c>
      <c r="B241" s="242"/>
      <c r="C241" s="555">
        <v>192</v>
      </c>
      <c r="D241" s="555">
        <v>255</v>
      </c>
      <c r="E241" s="555">
        <v>62</v>
      </c>
      <c r="F241" s="552" t="str">
        <f>DEC2HEX(BITWISE_AND(((C241 * 249) + 1014), HEX2DEC("F800"))+BITWISE_AND(INT(((D241 * 253) + 505) / 32), HEX2DEC("07E0"))+INT(((E241 * 249) + 1014) / 2048),4)</f>
        <v>BFE8</v>
      </c>
      <c r="G241" t="str">
        <f>"Const Color_" &amp; A241 &amp; " = &amp;H" &amp; F241</f>
        <v>Const Color_olivedrab1 = &amp;HBFE8</v>
      </c>
    </row>
    <row r="242" spans="1:7" ht="15" customHeight="1">
      <c r="A242" s="557" t="s">
        <v>263</v>
      </c>
      <c r="B242" s="243"/>
      <c r="C242" s="555">
        <v>179</v>
      </c>
      <c r="D242" s="555">
        <v>238</v>
      </c>
      <c r="E242" s="555">
        <v>58</v>
      </c>
      <c r="F242" s="552" t="str">
        <f>DEC2HEX(BITWISE_AND(((C242 * 249) + 1014), HEX2DEC("F800"))+BITWISE_AND(INT(((D242 * 253) + 505) / 32), HEX2DEC("07E0"))+INT(((E242 * 249) + 1014) / 2048),4)</f>
        <v>B767</v>
      </c>
      <c r="G242" t="str">
        <f>"Const Color_" &amp; A242 &amp; " = &amp;H" &amp; F242</f>
        <v>Const Color_olivedrab2 = &amp;HB767</v>
      </c>
    </row>
    <row r="243" spans="1:7" ht="15" customHeight="1">
      <c r="A243" s="557" t="s">
        <v>510</v>
      </c>
      <c r="B243" s="244"/>
      <c r="C243" s="555">
        <v>154</v>
      </c>
      <c r="D243" s="555">
        <v>205</v>
      </c>
      <c r="E243" s="555">
        <v>50</v>
      </c>
      <c r="F243" s="552" t="str">
        <f>DEC2HEX(BITWISE_AND(((C243 * 249) + 1014), HEX2DEC("F800"))+BITWISE_AND(INT(((D243 * 253) + 505) / 32), HEX2DEC("07E0"))+INT(((E243 * 249) + 1014) / 2048),4)</f>
        <v>9E66</v>
      </c>
      <c r="G243" t="str">
        <f>"Const Color_" &amp; A243 &amp; " = &amp;H" &amp; F243</f>
        <v>Const Color_yellowgreen = &amp;H9E66</v>
      </c>
    </row>
    <row r="244" spans="1:7" ht="15" customHeight="1">
      <c r="A244" s="557" t="s">
        <v>264</v>
      </c>
      <c r="B244" s="245"/>
      <c r="C244" s="555">
        <v>105</v>
      </c>
      <c r="D244" s="555">
        <v>139</v>
      </c>
      <c r="E244" s="555">
        <v>34</v>
      </c>
      <c r="F244" s="552" t="str">
        <f>DEC2HEX(BITWISE_AND(((C244 * 249) + 1014), HEX2DEC("F800"))+BITWISE_AND(INT(((D244 * 253) + 505) / 32), HEX2DEC("07E0"))+INT(((E244 * 249) + 1014) / 2048),4)</f>
        <v>6C44</v>
      </c>
      <c r="G244" t="str">
        <f>"Const Color_" &amp; A244 &amp; " = &amp;H" &amp; F244</f>
        <v>Const Color_olivedrab4 = &amp;H6C44</v>
      </c>
    </row>
    <row r="245" spans="1:7" ht="15" customHeight="1">
      <c r="A245" s="557" t="s">
        <v>523</v>
      </c>
      <c r="B245" s="246"/>
      <c r="C245" s="555">
        <v>255</v>
      </c>
      <c r="D245" s="555">
        <v>255</v>
      </c>
      <c r="E245" s="555">
        <v>240</v>
      </c>
      <c r="F245" s="552" t="str">
        <f>DEC2HEX(BITWISE_AND(((C245 * 249) + 1014), HEX2DEC("F800"))+BITWISE_AND(INT(((D245 * 253) + 505) / 32), HEX2DEC("07E0"))+INT(((E245 * 249) + 1014) / 2048),4)</f>
        <v>FFFD</v>
      </c>
      <c r="G245" t="str">
        <f>"Const Color_" &amp; A245 &amp; " = &amp;H" &amp; F245</f>
        <v>Const Color_ivory = &amp;HFFFD</v>
      </c>
    </row>
    <row r="246" spans="1:7" ht="15" customHeight="1">
      <c r="A246" s="557" t="s">
        <v>265</v>
      </c>
      <c r="B246" s="247"/>
      <c r="C246" s="555">
        <v>238</v>
      </c>
      <c r="D246" s="555">
        <v>238</v>
      </c>
      <c r="E246" s="555">
        <v>224</v>
      </c>
      <c r="F246" s="552" t="str">
        <f>DEC2HEX(BITWISE_AND(((C246 * 249) + 1014), HEX2DEC("F800"))+BITWISE_AND(INT(((D246 * 253) + 505) / 32), HEX2DEC("07E0"))+INT(((E246 * 249) + 1014) / 2048),4)</f>
        <v>EF7B</v>
      </c>
      <c r="G246" t="str">
        <f>"Const Color_" &amp; A246 &amp; " = &amp;H" &amp; F246</f>
        <v>Const Color_ivory2 = &amp;HEF7B</v>
      </c>
    </row>
    <row r="247" spans="1:7" ht="15" customHeight="1">
      <c r="A247" s="557" t="s">
        <v>266</v>
      </c>
      <c r="B247" s="248"/>
      <c r="C247" s="555">
        <v>205</v>
      </c>
      <c r="D247" s="555">
        <v>205</v>
      </c>
      <c r="E247" s="555">
        <v>193</v>
      </c>
      <c r="F247" s="552" t="str">
        <f>DEC2HEX(BITWISE_AND(((C247 * 249) + 1014), HEX2DEC("F800"))+BITWISE_AND(INT(((D247 * 253) + 505) / 32), HEX2DEC("07E0"))+INT(((E247 * 249) + 1014) / 2048),4)</f>
        <v>CE77</v>
      </c>
      <c r="G247" t="str">
        <f>"Const Color_" &amp; A247 &amp; " = &amp;H" &amp; F247</f>
        <v>Const Color_ivory3 = &amp;HCE77</v>
      </c>
    </row>
    <row r="248" spans="1:7" ht="15" customHeight="1">
      <c r="A248" s="557" t="s">
        <v>267</v>
      </c>
      <c r="B248" s="249"/>
      <c r="C248" s="555">
        <v>139</v>
      </c>
      <c r="D248" s="555">
        <v>139</v>
      </c>
      <c r="E248" s="555">
        <v>131</v>
      </c>
      <c r="F248" s="552" t="str">
        <f>DEC2HEX(BITWISE_AND(((C248 * 249) + 1014), HEX2DEC("F800"))+BITWISE_AND(INT(((D248 * 253) + 505) / 32), HEX2DEC("07E0"))+INT(((E248 * 249) + 1014) / 2048),4)</f>
        <v>8C50</v>
      </c>
      <c r="G248" t="str">
        <f>"Const Color_" &amp; A248 &amp; " = &amp;H" &amp; F248</f>
        <v>Const Color_ivory4 = &amp;H8C50</v>
      </c>
    </row>
    <row r="249" spans="1:7" ht="15" customHeight="1">
      <c r="A249" s="557" t="s">
        <v>66</v>
      </c>
      <c r="B249" s="250"/>
      <c r="C249" s="555">
        <v>245</v>
      </c>
      <c r="D249" s="555">
        <v>245</v>
      </c>
      <c r="E249" s="555">
        <v>220</v>
      </c>
      <c r="F249" s="552" t="str">
        <f>DEC2HEX(BITWISE_AND(((C249 * 249) + 1014), HEX2DEC("F800"))+BITWISE_AND(INT(((D249 * 253) + 505) / 32), HEX2DEC("07E0"))+INT(((E249 * 249) + 1014) / 2048),4)</f>
        <v>F7BB</v>
      </c>
      <c r="G249" t="str">
        <f>"Const Color_" &amp; A249 &amp; " = &amp;H" &amp; F249</f>
        <v>Const Color_beige = &amp;HF7BB</v>
      </c>
    </row>
    <row r="250" spans="1:7" ht="15" customHeight="1">
      <c r="A250" s="557" t="s">
        <v>511</v>
      </c>
      <c r="B250" s="251"/>
      <c r="C250" s="555">
        <v>255</v>
      </c>
      <c r="D250" s="555">
        <v>255</v>
      </c>
      <c r="E250" s="555">
        <v>224</v>
      </c>
      <c r="F250" s="552" t="str">
        <f>DEC2HEX(BITWISE_AND(((C250 * 249) + 1014), HEX2DEC("F800"))+BITWISE_AND(INT(((D250 * 253) + 505) / 32), HEX2DEC("07E0"))+INT(((E250 * 249) + 1014) / 2048),4)</f>
        <v>FFFB</v>
      </c>
      <c r="G250" t="str">
        <f>"Const Color_" &amp; A250 &amp; " = &amp;H" &amp; F250</f>
        <v>Const Color_lightyellow = &amp;HFFFB</v>
      </c>
    </row>
    <row r="251" spans="1:7" ht="15" customHeight="1">
      <c r="A251" s="557" t="s">
        <v>268</v>
      </c>
      <c r="B251" s="252"/>
      <c r="C251" s="555">
        <v>238</v>
      </c>
      <c r="D251" s="555">
        <v>238</v>
      </c>
      <c r="E251" s="555">
        <v>209</v>
      </c>
      <c r="F251" s="552" t="str">
        <f>DEC2HEX(BITWISE_AND(((C251 * 249) + 1014), HEX2DEC("F800"))+BITWISE_AND(INT(((D251 * 253) + 505) / 32), HEX2DEC("07E0"))+INT(((E251 * 249) + 1014) / 2048),4)</f>
        <v>EF79</v>
      </c>
      <c r="G251" t="str">
        <f>"Const Color_" &amp; A251 &amp; " = &amp;H" &amp; F251</f>
        <v>Const Color_lightyellow2 = &amp;HEF79</v>
      </c>
    </row>
    <row r="252" spans="1:7" ht="15" customHeight="1">
      <c r="A252" s="557" t="s">
        <v>269</v>
      </c>
      <c r="B252" s="253"/>
      <c r="C252" s="555">
        <v>205</v>
      </c>
      <c r="D252" s="555">
        <v>205</v>
      </c>
      <c r="E252" s="555">
        <v>180</v>
      </c>
      <c r="F252" s="552" t="str">
        <f>DEC2HEX(BITWISE_AND(((C252 * 249) + 1014), HEX2DEC("F800"))+BITWISE_AND(INT(((D252 * 253) + 505) / 32), HEX2DEC("07E0"))+INT(((E252 * 249) + 1014) / 2048),4)</f>
        <v>CE76</v>
      </c>
      <c r="G252" t="str">
        <f>"Const Color_" &amp; A252 &amp; " = &amp;H" &amp; F252</f>
        <v>Const Color_lightyellow3 = &amp;HCE76</v>
      </c>
    </row>
    <row r="253" spans="1:7" ht="15" customHeight="1">
      <c r="A253" s="557" t="s">
        <v>270</v>
      </c>
      <c r="B253" s="254"/>
      <c r="C253" s="555">
        <v>139</v>
      </c>
      <c r="D253" s="555">
        <v>139</v>
      </c>
      <c r="E253" s="555">
        <v>122</v>
      </c>
      <c r="F253" s="552" t="str">
        <f>DEC2HEX(BITWISE_AND(((C253 * 249) + 1014), HEX2DEC("F800"))+BITWISE_AND(INT(((D253 * 253) + 505) / 32), HEX2DEC("07E0"))+INT(((E253 * 249) + 1014) / 2048),4)</f>
        <v>8C4F</v>
      </c>
      <c r="G253" t="str">
        <f>"Const Color_" &amp; A253 &amp; " = &amp;H" &amp; F253</f>
        <v>Const Color_lightyellow4 = &amp;H8C4F</v>
      </c>
    </row>
    <row r="254" spans="1:7" ht="15" customHeight="1">
      <c r="A254" s="557" t="s">
        <v>67</v>
      </c>
      <c r="B254" s="255"/>
      <c r="C254" s="555">
        <v>250</v>
      </c>
      <c r="D254" s="555">
        <v>250</v>
      </c>
      <c r="E254" s="555">
        <v>210</v>
      </c>
      <c r="F254" s="552" t="str">
        <f>DEC2HEX(BITWISE_AND(((C254 * 249) + 1014), HEX2DEC("F800"))+BITWISE_AND(INT(((D254 * 253) + 505) / 32), HEX2DEC("07E0"))+INT(((E254 * 249) + 1014) / 2048),4)</f>
        <v>F7DA</v>
      </c>
      <c r="G254" t="str">
        <f>"Const Color_" &amp; A254 &amp; " = &amp;H" &amp; F254</f>
        <v>Const Color_lightgoldenrodyellow = &amp;HF7DA</v>
      </c>
    </row>
    <row r="255" spans="1:7" ht="15" customHeight="1">
      <c r="A255" s="557" t="s">
        <v>524</v>
      </c>
      <c r="B255" s="256"/>
      <c r="C255" s="555">
        <v>255</v>
      </c>
      <c r="D255" s="555">
        <v>255</v>
      </c>
      <c r="E255" s="555">
        <v>0</v>
      </c>
      <c r="F255" s="552" t="str">
        <f>DEC2HEX(BITWISE_AND(((C255 * 249) + 1014), HEX2DEC("F800"))+BITWISE_AND(INT(((D255 * 253) + 505) / 32), HEX2DEC("07E0"))+INT(((E255 * 249) + 1014) / 2048),4)</f>
        <v>FFE0</v>
      </c>
      <c r="G255" t="str">
        <f>"Const Color_" &amp; A255 &amp; " = &amp;H" &amp; F255</f>
        <v>Const Color_yellow = &amp;HFFE0</v>
      </c>
    </row>
    <row r="256" spans="1:7" ht="15" customHeight="1">
      <c r="A256" s="557" t="s">
        <v>271</v>
      </c>
      <c r="B256" s="257"/>
      <c r="C256" s="555">
        <v>238</v>
      </c>
      <c r="D256" s="555">
        <v>238</v>
      </c>
      <c r="E256" s="555">
        <v>0</v>
      </c>
      <c r="F256" s="552" t="str">
        <f>DEC2HEX(BITWISE_AND(((C256 * 249) + 1014), HEX2DEC("F800"))+BITWISE_AND(INT(((D256 * 253) + 505) / 32), HEX2DEC("07E0"))+INT(((E256 * 249) + 1014) / 2048),4)</f>
        <v>EF60</v>
      </c>
      <c r="G256" t="str">
        <f>"Const Color_" &amp; A256 &amp; " = &amp;H" &amp; F256</f>
        <v>Const Color_yellow2 = &amp;HEF60</v>
      </c>
    </row>
    <row r="257" spans="1:7" ht="15" customHeight="1">
      <c r="A257" s="557" t="s">
        <v>272</v>
      </c>
      <c r="B257" s="258"/>
      <c r="C257" s="555">
        <v>205</v>
      </c>
      <c r="D257" s="555">
        <v>205</v>
      </c>
      <c r="E257" s="555">
        <v>0</v>
      </c>
      <c r="F257" s="552" t="str">
        <f>DEC2HEX(BITWISE_AND(((C257 * 249) + 1014), HEX2DEC("F800"))+BITWISE_AND(INT(((D257 * 253) + 505) / 32), HEX2DEC("07E0"))+INT(((E257 * 249) + 1014) / 2048),4)</f>
        <v>CE60</v>
      </c>
      <c r="G257" t="str">
        <f>"Const Color_" &amp; A257 &amp; " = &amp;H" &amp; F257</f>
        <v>Const Color_yellow3 = &amp;HCE60</v>
      </c>
    </row>
    <row r="258" spans="1:7" ht="15" customHeight="1">
      <c r="A258" s="557" t="s">
        <v>273</v>
      </c>
      <c r="B258" s="259"/>
      <c r="C258" s="555">
        <v>139</v>
      </c>
      <c r="D258" s="555">
        <v>139</v>
      </c>
      <c r="E258" s="555">
        <v>0</v>
      </c>
      <c r="F258" s="552" t="str">
        <f>DEC2HEX(BITWISE_AND(((C258 * 249) + 1014), HEX2DEC("F800"))+BITWISE_AND(INT(((D258 * 253) + 505) / 32), HEX2DEC("07E0"))+INT(((E258 * 249) + 1014) / 2048),4)</f>
        <v>8C40</v>
      </c>
      <c r="G258" t="str">
        <f>"Const Color_" &amp; A258 &amp; " = &amp;H" &amp; F258</f>
        <v>Const Color_yellow4 = &amp;H8C40</v>
      </c>
    </row>
    <row r="259" spans="1:7" ht="15" customHeight="1">
      <c r="A259" s="557" t="s">
        <v>68</v>
      </c>
      <c r="B259" s="260"/>
      <c r="C259" s="555">
        <v>128</v>
      </c>
      <c r="D259" s="555">
        <v>128</v>
      </c>
      <c r="E259" s="555">
        <v>105</v>
      </c>
      <c r="F259" s="552" t="str">
        <f>DEC2HEX(BITWISE_AND(((C259 * 249) + 1014), HEX2DEC("F800"))+BITWISE_AND(INT(((D259 * 253) + 505) / 32), HEX2DEC("07E0"))+INT(((E259 * 249) + 1014) / 2048),4)</f>
        <v>840D</v>
      </c>
      <c r="G259" t="str">
        <f>"Const Color_" &amp; A259 &amp; " = &amp;H" &amp; F259</f>
        <v>Const Color_warmgrey = &amp;H840D</v>
      </c>
    </row>
    <row r="260" spans="1:7" ht="15" customHeight="1">
      <c r="A260" s="557" t="s">
        <v>525</v>
      </c>
      <c r="B260" s="261"/>
      <c r="C260" s="555">
        <v>128</v>
      </c>
      <c r="D260" s="555">
        <v>128</v>
      </c>
      <c r="E260" s="555">
        <v>0</v>
      </c>
      <c r="F260" s="552" t="str">
        <f>DEC2HEX(BITWISE_AND(((C260 * 249) + 1014), HEX2DEC("F800"))+BITWISE_AND(INT(((D260 * 253) + 505) / 32), HEX2DEC("07E0"))+INT(((E260 * 249) + 1014) / 2048),4)</f>
        <v>8400</v>
      </c>
      <c r="G260" t="str">
        <f>"Const Color_" &amp; A260 &amp; " = &amp;H" &amp; F260</f>
        <v>Const Color_olive = &amp;H8400</v>
      </c>
    </row>
    <row r="261" spans="1:7" ht="15" customHeight="1">
      <c r="A261" s="557" t="s">
        <v>69</v>
      </c>
      <c r="B261" s="262"/>
      <c r="C261" s="555">
        <v>189</v>
      </c>
      <c r="D261" s="555">
        <v>183</v>
      </c>
      <c r="E261" s="555">
        <v>107</v>
      </c>
      <c r="F261" s="552" t="str">
        <f>DEC2HEX(BITWISE_AND(((C261 * 249) + 1014), HEX2DEC("F800"))+BITWISE_AND(INT(((D261 * 253) + 505) / 32), HEX2DEC("07E0"))+INT(((E261 * 249) + 1014) / 2048),4)</f>
        <v>BDAD</v>
      </c>
      <c r="G261" t="str">
        <f>"Const Color_" &amp; A261 &amp; " = &amp;H" &amp; F261</f>
        <v>Const Color_darkkhaki = &amp;HBDAD</v>
      </c>
    </row>
    <row r="262" spans="1:7" ht="15" customHeight="1">
      <c r="A262" s="557" t="s">
        <v>274</v>
      </c>
      <c r="B262" s="263"/>
      <c r="C262" s="555">
        <v>255</v>
      </c>
      <c r="D262" s="555">
        <v>246</v>
      </c>
      <c r="E262" s="555">
        <v>143</v>
      </c>
      <c r="F262" s="552" t="str">
        <f>DEC2HEX(BITWISE_AND(((C262 * 249) + 1014), HEX2DEC("F800"))+BITWISE_AND(INT(((D262 * 253) + 505) / 32), HEX2DEC("07E0"))+INT(((E262 * 249) + 1014) / 2048),4)</f>
        <v>FFB1</v>
      </c>
      <c r="G262" t="str">
        <f>"Const Color_" &amp; A262 &amp; " = &amp;H" &amp; F262</f>
        <v>Const Color_khaki1 = &amp;HFFB1</v>
      </c>
    </row>
    <row r="263" spans="1:7" ht="15" customHeight="1">
      <c r="A263" s="557" t="s">
        <v>275</v>
      </c>
      <c r="B263" s="264"/>
      <c r="C263" s="555">
        <v>238</v>
      </c>
      <c r="D263" s="555">
        <v>230</v>
      </c>
      <c r="E263" s="555">
        <v>133</v>
      </c>
      <c r="F263" s="552" t="str">
        <f>DEC2HEX(BITWISE_AND(((C263 * 249) + 1014), HEX2DEC("F800"))+BITWISE_AND(INT(((D263 * 253) + 505) / 32), HEX2DEC("07E0"))+INT(((E263 * 249) + 1014) / 2048),4)</f>
        <v>EF30</v>
      </c>
      <c r="G263" t="str">
        <f>"Const Color_" &amp; A263 &amp; " = &amp;H" &amp; F263</f>
        <v>Const Color_khaki2 = &amp;HEF30</v>
      </c>
    </row>
    <row r="264" spans="1:7" ht="15" customHeight="1">
      <c r="A264" s="557" t="s">
        <v>276</v>
      </c>
      <c r="B264" s="265"/>
      <c r="C264" s="555">
        <v>205</v>
      </c>
      <c r="D264" s="555">
        <v>198</v>
      </c>
      <c r="E264" s="555">
        <v>115</v>
      </c>
      <c r="F264" s="552" t="str">
        <f>DEC2HEX(BITWISE_AND(((C264 * 249) + 1014), HEX2DEC("F800"))+BITWISE_AND(INT(((D264 * 253) + 505) / 32), HEX2DEC("07E0"))+INT(((E264 * 249) + 1014) / 2048),4)</f>
        <v>CE2E</v>
      </c>
      <c r="G264" t="str">
        <f>"Const Color_" &amp; A264 &amp; " = &amp;H" &amp; F264</f>
        <v>Const Color_khaki3 = &amp;HCE2E</v>
      </c>
    </row>
    <row r="265" spans="1:7" ht="15" customHeight="1">
      <c r="A265" s="557" t="s">
        <v>277</v>
      </c>
      <c r="B265" s="266"/>
      <c r="C265" s="555">
        <v>139</v>
      </c>
      <c r="D265" s="555">
        <v>134</v>
      </c>
      <c r="E265" s="555">
        <v>78</v>
      </c>
      <c r="F265" s="552" t="str">
        <f>DEC2HEX(BITWISE_AND(((C265 * 249) + 1014), HEX2DEC("F800"))+BITWISE_AND(INT(((D265 * 253) + 505) / 32), HEX2DEC("07E0"))+INT(((E265 * 249) + 1014) / 2048),4)</f>
        <v>8C29</v>
      </c>
      <c r="G265" t="str">
        <f>"Const Color_" &amp; A265 &amp; " = &amp;H" &amp; F265</f>
        <v>Const Color_khaki4 = &amp;H8C29</v>
      </c>
    </row>
    <row r="266" spans="1:7" ht="15" customHeight="1">
      <c r="A266" s="557" t="s">
        <v>70</v>
      </c>
      <c r="B266" s="267"/>
      <c r="C266" s="555">
        <v>240</v>
      </c>
      <c r="D266" s="555">
        <v>230</v>
      </c>
      <c r="E266" s="555">
        <v>140</v>
      </c>
      <c r="F266" s="552" t="str">
        <f>DEC2HEX(BITWISE_AND(((C266 * 249) + 1014), HEX2DEC("F800"))+BITWISE_AND(INT(((D266 * 253) + 505) / 32), HEX2DEC("07E0"))+INT(((E266 * 249) + 1014) / 2048),4)</f>
        <v>EF31</v>
      </c>
      <c r="G266" t="str">
        <f>"Const Color_" &amp; A266 &amp; " = &amp;H" &amp; F266</f>
        <v>Const Color_khaki = &amp;HEF31</v>
      </c>
    </row>
    <row r="267" spans="1:7" ht="15" customHeight="1">
      <c r="A267" s="557" t="s">
        <v>71</v>
      </c>
      <c r="B267" s="268"/>
      <c r="C267" s="555">
        <v>238</v>
      </c>
      <c r="D267" s="555">
        <v>232</v>
      </c>
      <c r="E267" s="555">
        <v>170</v>
      </c>
      <c r="F267" s="552" t="str">
        <f>DEC2HEX(BITWISE_AND(((C267 * 249) + 1014), HEX2DEC("F800"))+BITWISE_AND(INT(((D267 * 253) + 505) / 32), HEX2DEC("07E0"))+INT(((E267 * 249) + 1014) / 2048),4)</f>
        <v>EF35</v>
      </c>
      <c r="G267" t="str">
        <f>"Const Color_" &amp; A267 &amp; " = &amp;H" &amp; F267</f>
        <v>Const Color_palegoldenrod = &amp;HEF35</v>
      </c>
    </row>
    <row r="268" spans="1:7" ht="15" customHeight="1">
      <c r="A268" s="557" t="s">
        <v>526</v>
      </c>
      <c r="B268" s="269"/>
      <c r="C268" s="555">
        <v>255</v>
      </c>
      <c r="D268" s="555">
        <v>250</v>
      </c>
      <c r="E268" s="555">
        <v>205</v>
      </c>
      <c r="F268" s="552" t="str">
        <f>DEC2HEX(BITWISE_AND(((C268 * 249) + 1014), HEX2DEC("F800"))+BITWISE_AND(INT(((D268 * 253) + 505) / 32), HEX2DEC("07E0"))+INT(((E268 * 249) + 1014) / 2048),4)</f>
        <v>FFD9</v>
      </c>
      <c r="G268" t="str">
        <f>"Const Color_" &amp; A268 &amp; " = &amp;H" &amp; F268</f>
        <v>Const Color_lemonchiffon = &amp;HFFD9</v>
      </c>
    </row>
    <row r="269" spans="1:7" ht="15" customHeight="1">
      <c r="A269" s="557" t="s">
        <v>278</v>
      </c>
      <c r="B269" s="270"/>
      <c r="C269" s="555">
        <v>238</v>
      </c>
      <c r="D269" s="555">
        <v>233</v>
      </c>
      <c r="E269" s="555">
        <v>191</v>
      </c>
      <c r="F269" s="552" t="str">
        <f>DEC2HEX(BITWISE_AND(((C269 * 249) + 1014), HEX2DEC("F800"))+BITWISE_AND(INT(((D269 * 253) + 505) / 32), HEX2DEC("07E0"))+INT(((E269 * 249) + 1014) / 2048),4)</f>
        <v>EF57</v>
      </c>
      <c r="G269" t="str">
        <f>"Const Color_" &amp; A269 &amp; " = &amp;H" &amp; F269</f>
        <v>Const Color_lemonchiffon2 = &amp;HEF57</v>
      </c>
    </row>
    <row r="270" spans="1:7" ht="15" customHeight="1">
      <c r="A270" s="557" t="s">
        <v>279</v>
      </c>
      <c r="B270" s="271"/>
      <c r="C270" s="555">
        <v>205</v>
      </c>
      <c r="D270" s="555">
        <v>201</v>
      </c>
      <c r="E270" s="555">
        <v>165</v>
      </c>
      <c r="F270" s="552" t="str">
        <f>DEC2HEX(BITWISE_AND(((C270 * 249) + 1014), HEX2DEC("F800"))+BITWISE_AND(INT(((D270 * 253) + 505) / 32), HEX2DEC("07E0"))+INT(((E270 * 249) + 1014) / 2048),4)</f>
        <v>CE54</v>
      </c>
      <c r="G270" t="str">
        <f>"Const Color_" &amp; A270 &amp; " = &amp;H" &amp; F270</f>
        <v>Const Color_lemonchiffon3 = &amp;HCE54</v>
      </c>
    </row>
    <row r="271" spans="1:7" ht="15" customHeight="1">
      <c r="A271" s="557" t="s">
        <v>280</v>
      </c>
      <c r="B271" s="272"/>
      <c r="C271" s="555">
        <v>139</v>
      </c>
      <c r="D271" s="555">
        <v>137</v>
      </c>
      <c r="E271" s="555">
        <v>112</v>
      </c>
      <c r="F271" s="552" t="str">
        <f>DEC2HEX(BITWISE_AND(((C271 * 249) + 1014), HEX2DEC("F800"))+BITWISE_AND(INT(((D271 * 253) + 505) / 32), HEX2DEC("07E0"))+INT(((E271 * 249) + 1014) / 2048),4)</f>
        <v>8C4E</v>
      </c>
      <c r="G271" t="str">
        <f>"Const Color_" &amp; A271 &amp; " = &amp;H" &amp; F271</f>
        <v>Const Color_lemonchiffon4 = &amp;H8C4E</v>
      </c>
    </row>
    <row r="272" spans="1:7" ht="15" customHeight="1">
      <c r="A272" s="557" t="s">
        <v>281</v>
      </c>
      <c r="B272" s="273"/>
      <c r="C272" s="555">
        <v>255</v>
      </c>
      <c r="D272" s="555">
        <v>236</v>
      </c>
      <c r="E272" s="555">
        <v>139</v>
      </c>
      <c r="F272" s="552" t="str">
        <f>DEC2HEX(BITWISE_AND(((C272 * 249) + 1014), HEX2DEC("F800"))+BITWISE_AND(INT(((D272 * 253) + 505) / 32), HEX2DEC("07E0"))+INT(((E272 * 249) + 1014) / 2048),4)</f>
        <v>FF51</v>
      </c>
      <c r="G272" t="str">
        <f>"Const Color_" &amp; A272 &amp; " = &amp;H" &amp; F272</f>
        <v>Const Color_lightgoldenrod1 = &amp;HFF51</v>
      </c>
    </row>
    <row r="273" spans="1:7" ht="15" customHeight="1">
      <c r="A273" s="557" t="s">
        <v>282</v>
      </c>
      <c r="B273" s="274"/>
      <c r="C273" s="555">
        <v>238</v>
      </c>
      <c r="D273" s="555">
        <v>220</v>
      </c>
      <c r="E273" s="555">
        <v>130</v>
      </c>
      <c r="F273" s="552" t="str">
        <f>DEC2HEX(BITWISE_AND(((C273 * 249) + 1014), HEX2DEC("F800"))+BITWISE_AND(INT(((D273 * 253) + 505) / 32), HEX2DEC("07E0"))+INT(((E273 * 249) + 1014) / 2048),4)</f>
        <v>EED0</v>
      </c>
      <c r="G273" t="str">
        <f>"Const Color_" &amp; A273 &amp; " = &amp;H" &amp; F273</f>
        <v>Const Color_lightgoldenrod2 = &amp;HEED0</v>
      </c>
    </row>
    <row r="274" spans="1:7" ht="15" customHeight="1">
      <c r="A274" s="557" t="s">
        <v>283</v>
      </c>
      <c r="B274" s="275"/>
      <c r="C274" s="555">
        <v>205</v>
      </c>
      <c r="D274" s="555">
        <v>190</v>
      </c>
      <c r="E274" s="555">
        <v>112</v>
      </c>
      <c r="F274" s="552" t="str">
        <f>DEC2HEX(BITWISE_AND(((C274 * 249) + 1014), HEX2DEC("F800"))+BITWISE_AND(INT(((D274 * 253) + 505) / 32), HEX2DEC("07E0"))+INT(((E274 * 249) + 1014) / 2048),4)</f>
        <v>CDEE</v>
      </c>
      <c r="G274" t="str">
        <f>"Const Color_" &amp; A274 &amp; " = &amp;H" &amp; F274</f>
        <v>Const Color_lightgoldenrod3 = &amp;HCDEE</v>
      </c>
    </row>
    <row r="275" spans="1:7" ht="15" customHeight="1">
      <c r="A275" s="557" t="s">
        <v>284</v>
      </c>
      <c r="B275" s="276"/>
      <c r="C275" s="555">
        <v>139</v>
      </c>
      <c r="D275" s="555">
        <v>129</v>
      </c>
      <c r="E275" s="555">
        <v>76</v>
      </c>
      <c r="F275" s="552" t="str">
        <f>DEC2HEX(BITWISE_AND(((C275 * 249) + 1014), HEX2DEC("F800"))+BITWISE_AND(INT(((D275 * 253) + 505) / 32), HEX2DEC("07E0"))+INT(((E275 * 249) + 1014) / 2048),4)</f>
        <v>8C09</v>
      </c>
      <c r="G275" t="str">
        <f>"Const Color_" &amp; A275 &amp; " = &amp;H" &amp; F275</f>
        <v>Const Color_lightgoldenrod4 = &amp;H8C09</v>
      </c>
    </row>
    <row r="276" spans="1:7" ht="15" customHeight="1">
      <c r="A276" s="557" t="s">
        <v>72</v>
      </c>
      <c r="B276" s="277"/>
      <c r="C276" s="555">
        <v>227</v>
      </c>
      <c r="D276" s="555">
        <v>207</v>
      </c>
      <c r="E276" s="555">
        <v>87</v>
      </c>
      <c r="F276" s="552" t="str">
        <f>DEC2HEX(BITWISE_AND(((C276 * 249) + 1014), HEX2DEC("F800"))+BITWISE_AND(INT(((D276 * 253) + 505) / 32), HEX2DEC("07E0"))+INT(((E276 * 249) + 1014) / 2048),4)</f>
        <v>E66B</v>
      </c>
      <c r="G276" t="str">
        <f>"Const Color_" &amp; A276 &amp; " = &amp;H" &amp; F276</f>
        <v>Const Color_banana = &amp;HE66B</v>
      </c>
    </row>
    <row r="277" spans="1:7" ht="15" customHeight="1">
      <c r="A277" s="557" t="s">
        <v>527</v>
      </c>
      <c r="B277" s="278"/>
      <c r="C277" s="555">
        <v>255</v>
      </c>
      <c r="D277" s="555">
        <v>215</v>
      </c>
      <c r="E277" s="555">
        <v>0</v>
      </c>
      <c r="F277" s="552" t="str">
        <f>DEC2HEX(BITWISE_AND(((C277 * 249) + 1014), HEX2DEC("F800"))+BITWISE_AND(INT(((D277 * 253) + 505) / 32), HEX2DEC("07E0"))+INT(((E277 * 249) + 1014) / 2048),4)</f>
        <v>FEA0</v>
      </c>
      <c r="G277" t="str">
        <f>"Const Color_" &amp; A277 &amp; " = &amp;H" &amp; F277</f>
        <v>Const Color_gold = &amp;HFEA0</v>
      </c>
    </row>
    <row r="278" spans="1:7" ht="15" customHeight="1">
      <c r="A278" s="557" t="s">
        <v>285</v>
      </c>
      <c r="B278" s="279"/>
      <c r="C278" s="555">
        <v>238</v>
      </c>
      <c r="D278" s="555">
        <v>201</v>
      </c>
      <c r="E278" s="555">
        <v>0</v>
      </c>
      <c r="F278" s="552" t="str">
        <f>DEC2HEX(BITWISE_AND(((C278 * 249) + 1014), HEX2DEC("F800"))+BITWISE_AND(INT(((D278 * 253) + 505) / 32), HEX2DEC("07E0"))+INT(((E278 * 249) + 1014) / 2048),4)</f>
        <v>EE40</v>
      </c>
      <c r="G278" t="str">
        <f>"Const Color_" &amp; A278 &amp; " = &amp;H" &amp; F278</f>
        <v>Const Color_gold2 = &amp;HEE40</v>
      </c>
    </row>
    <row r="279" spans="1:7" ht="15" customHeight="1">
      <c r="A279" s="557" t="s">
        <v>286</v>
      </c>
      <c r="B279" s="280"/>
      <c r="C279" s="555">
        <v>205</v>
      </c>
      <c r="D279" s="555">
        <v>173</v>
      </c>
      <c r="E279" s="555">
        <v>0</v>
      </c>
      <c r="F279" s="552" t="str">
        <f>DEC2HEX(BITWISE_AND(((C279 * 249) + 1014), HEX2DEC("F800"))+BITWISE_AND(INT(((D279 * 253) + 505) / 32), HEX2DEC("07E0"))+INT(((E279 * 249) + 1014) / 2048),4)</f>
        <v>CD60</v>
      </c>
      <c r="G279" t="str">
        <f>"Const Color_" &amp; A279 &amp; " = &amp;H" &amp; F279</f>
        <v>Const Color_gold3 = &amp;HCD60</v>
      </c>
    </row>
    <row r="280" spans="1:7" ht="15" customHeight="1">
      <c r="A280" s="557" t="s">
        <v>287</v>
      </c>
      <c r="B280" s="281"/>
      <c r="C280" s="555">
        <v>139</v>
      </c>
      <c r="D280" s="555">
        <v>117</v>
      </c>
      <c r="E280" s="555">
        <v>0</v>
      </c>
      <c r="F280" s="552" t="str">
        <f>DEC2HEX(BITWISE_AND(((C280 * 249) + 1014), HEX2DEC("F800"))+BITWISE_AND(INT(((D280 * 253) + 505) / 32), HEX2DEC("07E0"))+INT(((E280 * 249) + 1014) / 2048),4)</f>
        <v>8BA0</v>
      </c>
      <c r="G280" t="str">
        <f>"Const Color_" &amp; A280 &amp; " = &amp;H" &amp; F280</f>
        <v>Const Color_gold4 = &amp;H8BA0</v>
      </c>
    </row>
    <row r="281" spans="1:7" ht="15" customHeight="1">
      <c r="A281" s="557" t="s">
        <v>528</v>
      </c>
      <c r="B281" s="282"/>
      <c r="C281" s="555">
        <v>255</v>
      </c>
      <c r="D281" s="555">
        <v>248</v>
      </c>
      <c r="E281" s="555">
        <v>220</v>
      </c>
      <c r="F281" s="552" t="str">
        <f>DEC2HEX(BITWISE_AND(((C281 * 249) + 1014), HEX2DEC("F800"))+BITWISE_AND(INT(((D281 * 253) + 505) / 32), HEX2DEC("07E0"))+INT(((E281 * 249) + 1014) / 2048),4)</f>
        <v>FFBB</v>
      </c>
      <c r="G281" t="str">
        <f>"Const Color_" &amp; A281 &amp; " = &amp;H" &amp; F281</f>
        <v>Const Color_cornsilk = &amp;HFFBB</v>
      </c>
    </row>
    <row r="282" spans="1:7" ht="15" customHeight="1">
      <c r="A282" s="557" t="s">
        <v>288</v>
      </c>
      <c r="B282" s="283"/>
      <c r="C282" s="555">
        <v>238</v>
      </c>
      <c r="D282" s="555">
        <v>232</v>
      </c>
      <c r="E282" s="555">
        <v>205</v>
      </c>
      <c r="F282" s="552" t="str">
        <f>DEC2HEX(BITWISE_AND(((C282 * 249) + 1014), HEX2DEC("F800"))+BITWISE_AND(INT(((D282 * 253) + 505) / 32), HEX2DEC("07E0"))+INT(((E282 * 249) + 1014) / 2048),4)</f>
        <v>EF39</v>
      </c>
      <c r="G282" t="str">
        <f>"Const Color_" &amp; A282 &amp; " = &amp;H" &amp; F282</f>
        <v>Const Color_cornsilk2 = &amp;HEF39</v>
      </c>
    </row>
    <row r="283" spans="1:7" ht="15" customHeight="1">
      <c r="A283" s="557" t="s">
        <v>289</v>
      </c>
      <c r="B283" s="284"/>
      <c r="C283" s="555">
        <v>205</v>
      </c>
      <c r="D283" s="555">
        <v>200</v>
      </c>
      <c r="E283" s="555">
        <v>177</v>
      </c>
      <c r="F283" s="552" t="str">
        <f>DEC2HEX(BITWISE_AND(((C283 * 249) + 1014), HEX2DEC("F800"))+BITWISE_AND(INT(((D283 * 253) + 505) / 32), HEX2DEC("07E0"))+INT(((E283 * 249) + 1014) / 2048),4)</f>
        <v>CE36</v>
      </c>
      <c r="G283" t="str">
        <f>"Const Color_" &amp; A283 &amp; " = &amp;H" &amp; F283</f>
        <v>Const Color_cornsilk3 = &amp;HCE36</v>
      </c>
    </row>
    <row r="284" spans="1:7" ht="15" customHeight="1">
      <c r="A284" s="557" t="s">
        <v>290</v>
      </c>
      <c r="B284" s="285"/>
      <c r="C284" s="555">
        <v>139</v>
      </c>
      <c r="D284" s="555">
        <v>136</v>
      </c>
      <c r="E284" s="555">
        <v>120</v>
      </c>
      <c r="F284" s="552" t="str">
        <f>DEC2HEX(BITWISE_AND(((C284 * 249) + 1014), HEX2DEC("F800"))+BITWISE_AND(INT(((D284 * 253) + 505) / 32), HEX2DEC("07E0"))+INT(((E284 * 249) + 1014) / 2048),4)</f>
        <v>8C4F</v>
      </c>
      <c r="G284" t="str">
        <f>"Const Color_" &amp; A284 &amp; " = &amp;H" &amp; F284</f>
        <v>Const Color_cornsilk4 = &amp;H8C4F</v>
      </c>
    </row>
    <row r="285" spans="1:7" ht="15" customHeight="1">
      <c r="A285" s="557" t="s">
        <v>73</v>
      </c>
      <c r="B285" s="286"/>
      <c r="C285" s="555">
        <v>218</v>
      </c>
      <c r="D285" s="555">
        <v>165</v>
      </c>
      <c r="E285" s="555">
        <v>32</v>
      </c>
      <c r="F285" s="552" t="str">
        <f>DEC2HEX(BITWISE_AND(((C285 * 249) + 1014), HEX2DEC("F800"))+BITWISE_AND(INT(((D285 * 253) + 505) / 32), HEX2DEC("07E0"))+INT(((E285 * 249) + 1014) / 2048),4)</f>
        <v>DD24</v>
      </c>
      <c r="G285" t="str">
        <f>"Const Color_" &amp; A285 &amp; " = &amp;H" &amp; F285</f>
        <v>Const Color_goldenrod = &amp;HDD24</v>
      </c>
    </row>
    <row r="286" spans="1:7" ht="15" customHeight="1">
      <c r="A286" s="557" t="s">
        <v>291</v>
      </c>
      <c r="B286" s="287"/>
      <c r="C286" s="555">
        <v>255</v>
      </c>
      <c r="D286" s="555">
        <v>193</v>
      </c>
      <c r="E286" s="555">
        <v>37</v>
      </c>
      <c r="F286" s="552" t="str">
        <f>DEC2HEX(BITWISE_AND(((C286 * 249) + 1014), HEX2DEC("F800"))+BITWISE_AND(INT(((D286 * 253) + 505) / 32), HEX2DEC("07E0"))+INT(((E286 * 249) + 1014) / 2048),4)</f>
        <v>FE04</v>
      </c>
      <c r="G286" t="str">
        <f>"Const Color_" &amp; A286 &amp; " = &amp;H" &amp; F286</f>
        <v>Const Color_goldenrod1 = &amp;HFE04</v>
      </c>
    </row>
    <row r="287" spans="1:7" ht="15" customHeight="1">
      <c r="A287" s="557" t="s">
        <v>292</v>
      </c>
      <c r="B287" s="288"/>
      <c r="C287" s="555">
        <v>238</v>
      </c>
      <c r="D287" s="555">
        <v>180</v>
      </c>
      <c r="E287" s="555">
        <v>34</v>
      </c>
      <c r="F287" s="552" t="str">
        <f>DEC2HEX(BITWISE_AND(((C287 * 249) + 1014), HEX2DEC("F800"))+BITWISE_AND(INT(((D287 * 253) + 505) / 32), HEX2DEC("07E0"))+INT(((E287 * 249) + 1014) / 2048),4)</f>
        <v>ED84</v>
      </c>
      <c r="G287" t="str">
        <f>"Const Color_" &amp; A287 &amp; " = &amp;H" &amp; F287</f>
        <v>Const Color_goldenrod2 = &amp;HED84</v>
      </c>
    </row>
    <row r="288" spans="1:7" ht="15" customHeight="1">
      <c r="A288" s="557" t="s">
        <v>293</v>
      </c>
      <c r="B288" s="289"/>
      <c r="C288" s="555">
        <v>205</v>
      </c>
      <c r="D288" s="555">
        <v>155</v>
      </c>
      <c r="E288" s="555">
        <v>29</v>
      </c>
      <c r="F288" s="552" t="str">
        <f>DEC2HEX(BITWISE_AND(((C288 * 249) + 1014), HEX2DEC("F800"))+BITWISE_AND(INT(((D288 * 253) + 505) / 32), HEX2DEC("07E0"))+INT(((E288 * 249) + 1014) / 2048),4)</f>
        <v>CCC4</v>
      </c>
      <c r="G288" t="str">
        <f>"Const Color_" &amp; A288 &amp; " = &amp;H" &amp; F288</f>
        <v>Const Color_goldenrod3 = &amp;HCCC4</v>
      </c>
    </row>
    <row r="289" spans="1:7" ht="15" customHeight="1">
      <c r="A289" s="557" t="s">
        <v>294</v>
      </c>
      <c r="B289" s="290"/>
      <c r="C289" s="555">
        <v>139</v>
      </c>
      <c r="D289" s="555">
        <v>105</v>
      </c>
      <c r="E289" s="555">
        <v>20</v>
      </c>
      <c r="F289" s="552" t="str">
        <f>DEC2HEX(BITWISE_AND(((C289 * 249) + 1014), HEX2DEC("F800"))+BITWISE_AND(INT(((D289 * 253) + 505) / 32), HEX2DEC("07E0"))+INT(((E289 * 249) + 1014) / 2048),4)</f>
        <v>8B42</v>
      </c>
      <c r="G289" t="str">
        <f>"Const Color_" &amp; A289 &amp; " = &amp;H" &amp; F289</f>
        <v>Const Color_goldenrod4 = &amp;H8B42</v>
      </c>
    </row>
    <row r="290" spans="1:7" ht="15" customHeight="1">
      <c r="A290" s="557" t="s">
        <v>74</v>
      </c>
      <c r="B290" s="291"/>
      <c r="C290" s="555">
        <v>184</v>
      </c>
      <c r="D290" s="555">
        <v>134</v>
      </c>
      <c r="E290" s="555">
        <v>11</v>
      </c>
      <c r="F290" s="552" t="str">
        <f>DEC2HEX(BITWISE_AND(((C290 * 249) + 1014), HEX2DEC("F800"))+BITWISE_AND(INT(((D290 * 253) + 505) / 32), HEX2DEC("07E0"))+INT(((E290 * 249) + 1014) / 2048),4)</f>
        <v>B421</v>
      </c>
      <c r="G290" t="str">
        <f>"Const Color_" &amp; A290 &amp; " = &amp;H" &amp; F290</f>
        <v>Const Color_darkgoldenrod = &amp;HB421</v>
      </c>
    </row>
    <row r="291" spans="1:7" ht="15" customHeight="1">
      <c r="A291" s="557" t="s">
        <v>295</v>
      </c>
      <c r="B291" s="292"/>
      <c r="C291" s="555">
        <v>255</v>
      </c>
      <c r="D291" s="555">
        <v>185</v>
      </c>
      <c r="E291" s="555">
        <v>15</v>
      </c>
      <c r="F291" s="552" t="str">
        <f>DEC2HEX(BITWISE_AND(((C291 * 249) + 1014), HEX2DEC("F800"))+BITWISE_AND(INT(((D291 * 253) + 505) / 32), HEX2DEC("07E0"))+INT(((E291 * 249) + 1014) / 2048),4)</f>
        <v>FDC2</v>
      </c>
      <c r="G291" t="str">
        <f>"Const Color_" &amp; A291 &amp; " = &amp;H" &amp; F291</f>
        <v>Const Color_darkgoldenrod1 = &amp;HFDC2</v>
      </c>
    </row>
    <row r="292" spans="1:7" ht="15" customHeight="1">
      <c r="A292" s="557" t="s">
        <v>296</v>
      </c>
      <c r="B292" s="293"/>
      <c r="C292" s="555">
        <v>238</v>
      </c>
      <c r="D292" s="555">
        <v>173</v>
      </c>
      <c r="E292" s="555">
        <v>14</v>
      </c>
      <c r="F292" s="552" t="str">
        <f>DEC2HEX(BITWISE_AND(((C292 * 249) + 1014), HEX2DEC("F800"))+BITWISE_AND(INT(((D292 * 253) + 505) / 32), HEX2DEC("07E0"))+INT(((E292 * 249) + 1014) / 2048),4)</f>
        <v>ED62</v>
      </c>
      <c r="G292" t="str">
        <f>"Const Color_" &amp; A292 &amp; " = &amp;H" &amp; F292</f>
        <v>Const Color_darkgoldenrod2 = &amp;HED62</v>
      </c>
    </row>
    <row r="293" spans="1:7" ht="15" customHeight="1">
      <c r="A293" s="557" t="s">
        <v>297</v>
      </c>
      <c r="B293" s="294"/>
      <c r="C293" s="555">
        <v>205</v>
      </c>
      <c r="D293" s="555">
        <v>149</v>
      </c>
      <c r="E293" s="555">
        <v>12</v>
      </c>
      <c r="F293" s="552" t="str">
        <f>DEC2HEX(BITWISE_AND(((C293 * 249) + 1014), HEX2DEC("F800"))+BITWISE_AND(INT(((D293 * 253) + 505) / 32), HEX2DEC("07E0"))+INT(((E293 * 249) + 1014) / 2048),4)</f>
        <v>CCA1</v>
      </c>
      <c r="G293" t="str">
        <f>"Const Color_" &amp; A293 &amp; " = &amp;H" &amp; F293</f>
        <v>Const Color_darkgoldenrod3 = &amp;HCCA1</v>
      </c>
    </row>
    <row r="294" spans="1:7" ht="15" customHeight="1">
      <c r="A294" s="557" t="s">
        <v>298</v>
      </c>
      <c r="B294" s="295"/>
      <c r="C294" s="555">
        <v>139</v>
      </c>
      <c r="D294" s="555">
        <v>101</v>
      </c>
      <c r="E294" s="555">
        <v>8</v>
      </c>
      <c r="F294" s="552" t="str">
        <f>DEC2HEX(BITWISE_AND(((C294 * 249) + 1014), HEX2DEC("F800"))+BITWISE_AND(INT(((D294 * 253) + 505) / 32), HEX2DEC("07E0"))+INT(((E294 * 249) + 1014) / 2048),4)</f>
        <v>8B21</v>
      </c>
      <c r="G294" t="str">
        <f>"Const Color_" &amp; A294 &amp; " = &amp;H" &amp; F294</f>
        <v>Const Color_darkgoldenrod4 = &amp;H8B21</v>
      </c>
    </row>
    <row r="295" spans="1:7" ht="15" customHeight="1">
      <c r="A295" s="557" t="s">
        <v>89</v>
      </c>
      <c r="B295" s="296"/>
      <c r="C295" s="555">
        <v>255</v>
      </c>
      <c r="D295" s="555">
        <v>165</v>
      </c>
      <c r="E295" s="555">
        <v>0</v>
      </c>
      <c r="F295" s="552" t="str">
        <f>DEC2HEX(BITWISE_AND(((C295 * 249) + 1014), HEX2DEC("F800"))+BITWISE_AND(INT(((D295 * 253) + 505) / 32), HEX2DEC("07E0"))+INT(((E295 * 249) + 1014) / 2048),4)</f>
        <v>FD20</v>
      </c>
      <c r="G295" t="str">
        <f>"Const Color_" &amp; A295 &amp; " = &amp;H" &amp; F295</f>
        <v>Const Color_orange = &amp;HFD20</v>
      </c>
    </row>
    <row r="296" spans="1:7" ht="15" customHeight="1">
      <c r="A296" s="557" t="s">
        <v>299</v>
      </c>
      <c r="B296" s="297"/>
      <c r="C296" s="555">
        <v>238</v>
      </c>
      <c r="D296" s="555">
        <v>154</v>
      </c>
      <c r="E296" s="555">
        <v>0</v>
      </c>
      <c r="F296" s="552" t="str">
        <f>DEC2HEX(BITWISE_AND(((C296 * 249) + 1014), HEX2DEC("F800"))+BITWISE_AND(INT(((D296 * 253) + 505) / 32), HEX2DEC("07E0"))+INT(((E296 * 249) + 1014) / 2048),4)</f>
        <v>ECC0</v>
      </c>
      <c r="G296" t="str">
        <f>"Const Color_" &amp; A296 &amp; " = &amp;H" &amp; F296</f>
        <v>Const Color_orange2 = &amp;HECC0</v>
      </c>
    </row>
    <row r="297" spans="1:7" ht="15" customHeight="1">
      <c r="A297" s="557" t="s">
        <v>300</v>
      </c>
      <c r="B297" s="298"/>
      <c r="C297" s="555">
        <v>205</v>
      </c>
      <c r="D297" s="555">
        <v>133</v>
      </c>
      <c r="E297" s="555">
        <v>0</v>
      </c>
      <c r="F297" s="552" t="str">
        <f>DEC2HEX(BITWISE_AND(((C297 * 249) + 1014), HEX2DEC("F800"))+BITWISE_AND(INT(((D297 * 253) + 505) / 32), HEX2DEC("07E0"))+INT(((E297 * 249) + 1014) / 2048),4)</f>
        <v>CC20</v>
      </c>
      <c r="G297" t="str">
        <f>"Const Color_" &amp; A297 &amp; " = &amp;H" &amp; F297</f>
        <v>Const Color_orange3 = &amp;HCC20</v>
      </c>
    </row>
    <row r="298" spans="1:7" ht="15" customHeight="1">
      <c r="A298" s="557" t="s">
        <v>559</v>
      </c>
      <c r="B298" s="299"/>
      <c r="C298" s="555">
        <v>139</v>
      </c>
      <c r="D298" s="555">
        <v>90</v>
      </c>
      <c r="E298" s="555">
        <v>0</v>
      </c>
      <c r="F298" s="552" t="str">
        <f>DEC2HEX(BITWISE_AND(((C298 * 249) + 1014), HEX2DEC("F800"))+BITWISE_AND(INT(((D298 * 253) + 505) / 32), HEX2DEC("07E0"))+INT(((E298 * 249) + 1014) / 2048),4)</f>
        <v>8AC0</v>
      </c>
      <c r="G298" t="str">
        <f>"Const Color_" &amp; A298 &amp; " = &amp;H" &amp; F298</f>
        <v>Const Color_orange5 = &amp;H8AC0</v>
      </c>
    </row>
    <row r="299" spans="1:7" ht="15" customHeight="1">
      <c r="A299" s="557" t="s">
        <v>75</v>
      </c>
      <c r="B299" s="300"/>
      <c r="C299" s="555">
        <v>255</v>
      </c>
      <c r="D299" s="555">
        <v>250</v>
      </c>
      <c r="E299" s="555">
        <v>240</v>
      </c>
      <c r="F299" s="552" t="str">
        <f>DEC2HEX(BITWISE_AND(((C299 * 249) + 1014), HEX2DEC("F800"))+BITWISE_AND(INT(((D299 * 253) + 505) / 32), HEX2DEC("07E0"))+INT(((E299 * 249) + 1014) / 2048),4)</f>
        <v>FFDD</v>
      </c>
      <c r="G299" t="str">
        <f>"Const Color_" &amp; A299 &amp; " = &amp;H" &amp; F299</f>
        <v>Const Color_floralwhite = &amp;HFFDD</v>
      </c>
    </row>
    <row r="300" spans="1:7" ht="15" customHeight="1">
      <c r="A300" s="557" t="s">
        <v>76</v>
      </c>
      <c r="B300" s="301"/>
      <c r="C300" s="555">
        <v>253</v>
      </c>
      <c r="D300" s="555">
        <v>245</v>
      </c>
      <c r="E300" s="555">
        <v>230</v>
      </c>
      <c r="F300" s="552" t="str">
        <f>DEC2HEX(BITWISE_AND(((C300 * 249) + 1014), HEX2DEC("F800"))+BITWISE_AND(INT(((D300 * 253) + 505) / 32), HEX2DEC("07E0"))+INT(((E300 * 249) + 1014) / 2048),4)</f>
        <v>FFBC</v>
      </c>
      <c r="G300" t="str">
        <f>"Const Color_" &amp; A300 &amp; " = &amp;H" &amp; F300</f>
        <v>Const Color_oldlace = &amp;HFFBC</v>
      </c>
    </row>
    <row r="301" spans="1:7" ht="15" customHeight="1">
      <c r="A301" s="557" t="s">
        <v>77</v>
      </c>
      <c r="B301" s="302"/>
      <c r="C301" s="555">
        <v>245</v>
      </c>
      <c r="D301" s="555">
        <v>222</v>
      </c>
      <c r="E301" s="555">
        <v>179</v>
      </c>
      <c r="F301" s="552" t="str">
        <f>DEC2HEX(BITWISE_AND(((C301 * 249) + 1014), HEX2DEC("F800"))+BITWISE_AND(INT(((D301 * 253) + 505) / 32), HEX2DEC("07E0"))+INT(((E301 * 249) + 1014) / 2048),4)</f>
        <v>F6F6</v>
      </c>
      <c r="G301" t="str">
        <f>"Const Color_" &amp; A301 &amp; " = &amp;H" &amp; F301</f>
        <v>Const Color_wheat = &amp;HF6F6</v>
      </c>
    </row>
    <row r="302" spans="1:7" ht="15" customHeight="1">
      <c r="A302" s="557" t="s">
        <v>301</v>
      </c>
      <c r="B302" s="303"/>
      <c r="C302" s="555">
        <v>255</v>
      </c>
      <c r="D302" s="555">
        <v>231</v>
      </c>
      <c r="E302" s="555">
        <v>186</v>
      </c>
      <c r="F302" s="552" t="str">
        <f>DEC2HEX(BITWISE_AND(((C302 * 249) + 1014), HEX2DEC("F800"))+BITWISE_AND(INT(((D302 * 253) + 505) / 32), HEX2DEC("07E0"))+INT(((E302 * 249) + 1014) / 2048),4)</f>
        <v>FF37</v>
      </c>
      <c r="G302" t="str">
        <f>"Const Color_" &amp; A302 &amp; " = &amp;H" &amp; F302</f>
        <v>Const Color_wheat1 = &amp;HFF37</v>
      </c>
    </row>
    <row r="303" spans="1:7" ht="15" customHeight="1">
      <c r="A303" s="557" t="s">
        <v>302</v>
      </c>
      <c r="B303" s="304"/>
      <c r="C303" s="555">
        <v>238</v>
      </c>
      <c r="D303" s="555">
        <v>216</v>
      </c>
      <c r="E303" s="555">
        <v>174</v>
      </c>
      <c r="F303" s="552" t="str">
        <f>DEC2HEX(BITWISE_AND(((C303 * 249) + 1014), HEX2DEC("F800"))+BITWISE_AND(INT(((D303 * 253) + 505) / 32), HEX2DEC("07E0"))+INT(((E303 * 249) + 1014) / 2048),4)</f>
        <v>EEB5</v>
      </c>
      <c r="G303" t="str">
        <f>"Const Color_" &amp; A303 &amp; " = &amp;H" &amp; F303</f>
        <v>Const Color_wheat2 = &amp;HEEB5</v>
      </c>
    </row>
    <row r="304" spans="1:7" ht="15" customHeight="1">
      <c r="A304" s="557" t="s">
        <v>303</v>
      </c>
      <c r="B304" s="305"/>
      <c r="C304" s="555">
        <v>205</v>
      </c>
      <c r="D304" s="555">
        <v>186</v>
      </c>
      <c r="E304" s="555">
        <v>150</v>
      </c>
      <c r="F304" s="552" t="str">
        <f>DEC2HEX(BITWISE_AND(((C304 * 249) + 1014), HEX2DEC("F800"))+BITWISE_AND(INT(((D304 * 253) + 505) / 32), HEX2DEC("07E0"))+INT(((E304 * 249) + 1014) / 2048),4)</f>
        <v>CDD2</v>
      </c>
      <c r="G304" t="str">
        <f>"Const Color_" &amp; A304 &amp; " = &amp;H" &amp; F304</f>
        <v>Const Color_wheat3 = &amp;HCDD2</v>
      </c>
    </row>
    <row r="305" spans="1:7" ht="15" customHeight="1">
      <c r="A305" s="557" t="s">
        <v>304</v>
      </c>
      <c r="B305" s="306"/>
      <c r="C305" s="555">
        <v>139</v>
      </c>
      <c r="D305" s="555">
        <v>126</v>
      </c>
      <c r="E305" s="555">
        <v>102</v>
      </c>
      <c r="F305" s="552" t="str">
        <f>DEC2HEX(BITWISE_AND(((C305 * 249) + 1014), HEX2DEC("F800"))+BITWISE_AND(INT(((D305 * 253) + 505) / 32), HEX2DEC("07E0"))+INT(((E305 * 249) + 1014) / 2048),4)</f>
        <v>8BEC</v>
      </c>
      <c r="G305" t="str">
        <f>"Const Color_" &amp; A305 &amp; " = &amp;H" &amp; F305</f>
        <v>Const Color_wheat4 = &amp;H8BEC</v>
      </c>
    </row>
    <row r="306" spans="1:7" ht="15" customHeight="1">
      <c r="A306" s="557" t="s">
        <v>78</v>
      </c>
      <c r="B306" s="307"/>
      <c r="C306" s="555">
        <v>255</v>
      </c>
      <c r="D306" s="555">
        <v>228</v>
      </c>
      <c r="E306" s="555">
        <v>181</v>
      </c>
      <c r="F306" s="552" t="str">
        <f>DEC2HEX(BITWISE_AND(((C306 * 249) + 1014), HEX2DEC("F800"))+BITWISE_AND(INT(((D306 * 253) + 505) / 32), HEX2DEC("07E0"))+INT(((E306 * 249) + 1014) / 2048),4)</f>
        <v>FF16</v>
      </c>
      <c r="G306" t="str">
        <f>"Const Color_" &amp; A306 &amp; " = &amp;H" &amp; F306</f>
        <v>Const Color_moccasin = &amp;HFF16</v>
      </c>
    </row>
    <row r="307" spans="1:7" ht="15" customHeight="1">
      <c r="A307" s="557" t="s">
        <v>79</v>
      </c>
      <c r="B307" s="308"/>
      <c r="C307" s="555">
        <v>255</v>
      </c>
      <c r="D307" s="555">
        <v>239</v>
      </c>
      <c r="E307" s="555">
        <v>213</v>
      </c>
      <c r="F307" s="552" t="str">
        <f>DEC2HEX(BITWISE_AND(((C307 * 249) + 1014), HEX2DEC("F800"))+BITWISE_AND(INT(((D307 * 253) + 505) / 32), HEX2DEC("07E0"))+INT(((E307 * 249) + 1014) / 2048),4)</f>
        <v>FF7A</v>
      </c>
      <c r="G307" t="str">
        <f>"Const Color_" &amp; A307 &amp; " = &amp;H" &amp; F307</f>
        <v>Const Color_papayawhip = &amp;HFF7A</v>
      </c>
    </row>
    <row r="308" spans="1:7" ht="15" customHeight="1">
      <c r="A308" s="557" t="s">
        <v>80</v>
      </c>
      <c r="B308" s="309"/>
      <c r="C308" s="555">
        <v>255</v>
      </c>
      <c r="D308" s="555">
        <v>235</v>
      </c>
      <c r="E308" s="555">
        <v>205</v>
      </c>
      <c r="F308" s="552" t="str">
        <f>DEC2HEX(BITWISE_AND(((C308 * 249) + 1014), HEX2DEC("F800"))+BITWISE_AND(INT(((D308 * 253) + 505) / 32), HEX2DEC("07E0"))+INT(((E308 * 249) + 1014) / 2048),4)</f>
        <v>FF59</v>
      </c>
      <c r="G308" t="str">
        <f>"Const Color_" &amp; A308 &amp; " = &amp;H" &amp; F308</f>
        <v>Const Color_blanchedalmond = &amp;HFF59</v>
      </c>
    </row>
    <row r="309" spans="1:7" ht="15" customHeight="1">
      <c r="A309" s="557" t="s">
        <v>529</v>
      </c>
      <c r="B309" s="310"/>
      <c r="C309" s="555">
        <v>255</v>
      </c>
      <c r="D309" s="555">
        <v>222</v>
      </c>
      <c r="E309" s="555">
        <v>173</v>
      </c>
      <c r="F309" s="552" t="str">
        <f>DEC2HEX(BITWISE_AND(((C309 * 249) + 1014), HEX2DEC("F800"))+BITWISE_AND(INT(((D309 * 253) + 505) / 32), HEX2DEC("07E0"))+INT(((E309 * 249) + 1014) / 2048),4)</f>
        <v>FEF5</v>
      </c>
      <c r="G309" t="str">
        <f>"Const Color_" &amp; A309 &amp; " = &amp;H" &amp; F309</f>
        <v>Const Color_navajowhite = &amp;HFEF5</v>
      </c>
    </row>
    <row r="310" spans="1:7" ht="15" customHeight="1">
      <c r="A310" s="557" t="s">
        <v>305</v>
      </c>
      <c r="B310" s="311"/>
      <c r="C310" s="555">
        <v>238</v>
      </c>
      <c r="D310" s="555">
        <v>207</v>
      </c>
      <c r="E310" s="555">
        <v>161</v>
      </c>
      <c r="F310" s="552" t="str">
        <f>DEC2HEX(BITWISE_AND(((C310 * 249) + 1014), HEX2DEC("F800"))+BITWISE_AND(INT(((D310 * 253) + 505) / 32), HEX2DEC("07E0"))+INT(((E310 * 249) + 1014) / 2048),4)</f>
        <v>EE74</v>
      </c>
      <c r="G310" t="str">
        <f>"Const Color_" &amp; A310 &amp; " = &amp;H" &amp; F310</f>
        <v>Const Color_navajowhite2 = &amp;HEE74</v>
      </c>
    </row>
    <row r="311" spans="1:7" ht="15" customHeight="1">
      <c r="A311" s="557" t="s">
        <v>306</v>
      </c>
      <c r="B311" s="312"/>
      <c r="C311" s="555">
        <v>205</v>
      </c>
      <c r="D311" s="555">
        <v>179</v>
      </c>
      <c r="E311" s="555">
        <v>139</v>
      </c>
      <c r="F311" s="552" t="str">
        <f>DEC2HEX(BITWISE_AND(((C311 * 249) + 1014), HEX2DEC("F800"))+BITWISE_AND(INT(((D311 * 253) + 505) / 32), HEX2DEC("07E0"))+INT(((E311 * 249) + 1014) / 2048),4)</f>
        <v>CD91</v>
      </c>
      <c r="G311" t="str">
        <f>"Const Color_" &amp; A311 &amp; " = &amp;H" &amp; F311</f>
        <v>Const Color_navajowhite3 = &amp;HCD91</v>
      </c>
    </row>
    <row r="312" spans="1:7" ht="15" customHeight="1">
      <c r="A312" s="557" t="s">
        <v>307</v>
      </c>
      <c r="B312" s="313"/>
      <c r="C312" s="555">
        <v>139</v>
      </c>
      <c r="D312" s="555">
        <v>121</v>
      </c>
      <c r="E312" s="555">
        <v>94</v>
      </c>
      <c r="F312" s="552" t="str">
        <f>DEC2HEX(BITWISE_AND(((C312 * 249) + 1014), HEX2DEC("F800"))+BITWISE_AND(INT(((D312 * 253) + 505) / 32), HEX2DEC("07E0"))+INT(((E312 * 249) + 1014) / 2048),4)</f>
        <v>8BCB</v>
      </c>
      <c r="G312" t="str">
        <f>"Const Color_" &amp; A312 &amp; " = &amp;H" &amp; F312</f>
        <v>Const Color_navajowhite4 = &amp;H8BCB</v>
      </c>
    </row>
    <row r="313" spans="1:7" ht="15" customHeight="1">
      <c r="A313" s="557" t="s">
        <v>81</v>
      </c>
      <c r="B313" s="314"/>
      <c r="C313" s="555">
        <v>252</v>
      </c>
      <c r="D313" s="555">
        <v>230</v>
      </c>
      <c r="E313" s="555">
        <v>201</v>
      </c>
      <c r="F313" s="552" t="str">
        <f>DEC2HEX(BITWISE_AND(((C313 * 249) + 1014), HEX2DEC("F800"))+BITWISE_AND(INT(((D313 * 253) + 505) / 32), HEX2DEC("07E0"))+INT(((E313 * 249) + 1014) / 2048),4)</f>
        <v>FF38</v>
      </c>
      <c r="G313" t="str">
        <f>"Const Color_" &amp; A313 &amp; " = &amp;H" &amp; F313</f>
        <v>Const Color_eggshell = &amp;HFF38</v>
      </c>
    </row>
    <row r="314" spans="1:7" ht="15" customHeight="1">
      <c r="A314" s="557" t="s">
        <v>82</v>
      </c>
      <c r="B314" s="315"/>
      <c r="C314" s="555">
        <v>210</v>
      </c>
      <c r="D314" s="555">
        <v>180</v>
      </c>
      <c r="E314" s="555">
        <v>140</v>
      </c>
      <c r="F314" s="552" t="str">
        <f>DEC2HEX(BITWISE_AND(((C314 * 249) + 1014), HEX2DEC("F800"))+BITWISE_AND(INT(((D314 * 253) + 505) / 32), HEX2DEC("07E0"))+INT(((E314 * 249) + 1014) / 2048),4)</f>
        <v>D591</v>
      </c>
      <c r="G314" t="str">
        <f>"Const Color_" &amp; A314 &amp; " = &amp;H" &amp; F314</f>
        <v>Const Color_tan = &amp;HD591</v>
      </c>
    </row>
    <row r="315" spans="1:7" ht="15" customHeight="1">
      <c r="A315" s="557" t="s">
        <v>83</v>
      </c>
      <c r="B315" s="316"/>
      <c r="C315" s="555">
        <v>156</v>
      </c>
      <c r="D315" s="555">
        <v>102</v>
      </c>
      <c r="E315" s="555">
        <v>31</v>
      </c>
      <c r="F315" s="552" t="str">
        <f>DEC2HEX(BITWISE_AND(((C315 * 249) + 1014), HEX2DEC("F800"))+BITWISE_AND(INT(((D315 * 253) + 505) / 32), HEX2DEC("07E0"))+INT(((E315 * 249) + 1014) / 2048),4)</f>
        <v>9B24</v>
      </c>
      <c r="G315" t="str">
        <f>"Const Color_" &amp; A315 &amp; " = &amp;H" &amp; F315</f>
        <v>Const Color_brick = &amp;H9B24</v>
      </c>
    </row>
    <row r="316" spans="1:7" ht="15" customHeight="1">
      <c r="A316" s="557" t="s">
        <v>84</v>
      </c>
      <c r="B316" s="317"/>
      <c r="C316" s="555">
        <v>255</v>
      </c>
      <c r="D316" s="555">
        <v>153</v>
      </c>
      <c r="E316" s="555">
        <v>18</v>
      </c>
      <c r="F316" s="552" t="str">
        <f>DEC2HEX(BITWISE_AND(((C316 * 249) + 1014), HEX2DEC("F800"))+BITWISE_AND(INT(((D316 * 253) + 505) / 32), HEX2DEC("07E0"))+INT(((E316 * 249) + 1014) / 2048),4)</f>
        <v>FCC2</v>
      </c>
      <c r="G316" t="str">
        <f>"Const Color_" &amp; A316 &amp; " = &amp;H" &amp; F316</f>
        <v>Const Color_cadmiumyellow = &amp;HFCC2</v>
      </c>
    </row>
    <row r="317" spans="1:7" ht="15" customHeight="1">
      <c r="A317" s="557" t="s">
        <v>1</v>
      </c>
      <c r="B317" s="318"/>
      <c r="C317" s="555">
        <v>250</v>
      </c>
      <c r="D317" s="555">
        <v>235</v>
      </c>
      <c r="E317" s="555">
        <v>215</v>
      </c>
      <c r="F317" s="552" t="str">
        <f>DEC2HEX(BITWISE_AND(((C317 * 249) + 1014), HEX2DEC("F800"))+BITWISE_AND(INT(((D317 * 253) + 505) / 32), HEX2DEC("07E0"))+INT(((E317 * 249) + 1014) / 2048),4)</f>
        <v>F75A</v>
      </c>
      <c r="G317" t="str">
        <f>"Const Color_" &amp; A317 &amp; " = &amp;H" &amp; F317</f>
        <v>Const Color_antiquewhite = &amp;HF75A</v>
      </c>
    </row>
    <row r="318" spans="1:7" ht="15" customHeight="1">
      <c r="A318" s="557" t="s">
        <v>308</v>
      </c>
      <c r="B318" s="319"/>
      <c r="C318" s="555">
        <v>255</v>
      </c>
      <c r="D318" s="555">
        <v>239</v>
      </c>
      <c r="E318" s="555">
        <v>219</v>
      </c>
      <c r="F318" s="552" t="str">
        <f>DEC2HEX(BITWISE_AND(((C318 * 249) + 1014), HEX2DEC("F800"))+BITWISE_AND(INT(((D318 * 253) + 505) / 32), HEX2DEC("07E0"))+INT(((E318 * 249) + 1014) / 2048),4)</f>
        <v>FF7B</v>
      </c>
      <c r="G318" t="str">
        <f>"Const Color_" &amp; A318 &amp; " = &amp;H" &amp; F318</f>
        <v>Const Color_antiquewhite1 = &amp;HFF7B</v>
      </c>
    </row>
    <row r="319" spans="1:7" ht="15" customHeight="1">
      <c r="A319" s="557" t="s">
        <v>309</v>
      </c>
      <c r="B319" s="320"/>
      <c r="C319" s="555">
        <v>238</v>
      </c>
      <c r="D319" s="555">
        <v>223</v>
      </c>
      <c r="E319" s="555">
        <v>204</v>
      </c>
      <c r="F319" s="552" t="str">
        <f>DEC2HEX(BITWISE_AND(((C319 * 249) + 1014), HEX2DEC("F800"))+BITWISE_AND(INT(((D319 * 253) + 505) / 32), HEX2DEC("07E0"))+INT(((E319 * 249) + 1014) / 2048),4)</f>
        <v>EEF9</v>
      </c>
      <c r="G319" t="str">
        <f>"Const Color_" &amp; A319 &amp; " = &amp;H" &amp; F319</f>
        <v>Const Color_antiquewhite2 = &amp;HEEF9</v>
      </c>
    </row>
    <row r="320" spans="1:7" ht="15" customHeight="1">
      <c r="A320" s="557" t="s">
        <v>310</v>
      </c>
      <c r="B320" s="321"/>
      <c r="C320" s="555">
        <v>205</v>
      </c>
      <c r="D320" s="555">
        <v>192</v>
      </c>
      <c r="E320" s="555">
        <v>176</v>
      </c>
      <c r="F320" s="552" t="str">
        <f>DEC2HEX(BITWISE_AND(((C320 * 249) + 1014), HEX2DEC("F800"))+BITWISE_AND(INT(((D320 * 253) + 505) / 32), HEX2DEC("07E0"))+INT(((E320 * 249) + 1014) / 2048),4)</f>
        <v>CDF5</v>
      </c>
      <c r="G320" t="str">
        <f>"Const Color_" &amp; A320 &amp; " = &amp;H" &amp; F320</f>
        <v>Const Color_antiquewhite3 = &amp;HCDF5</v>
      </c>
    </row>
    <row r="321" spans="1:7" ht="15" customHeight="1">
      <c r="A321" s="557" t="s">
        <v>311</v>
      </c>
      <c r="B321" s="322"/>
      <c r="C321" s="555">
        <v>139</v>
      </c>
      <c r="D321" s="555">
        <v>131</v>
      </c>
      <c r="E321" s="555">
        <v>120</v>
      </c>
      <c r="F321" s="552" t="str">
        <f>DEC2HEX(BITWISE_AND(((C321 * 249) + 1014), HEX2DEC("F800"))+BITWISE_AND(INT(((D321 * 253) + 505) / 32), HEX2DEC("07E0"))+INT(((E321 * 249) + 1014) / 2048),4)</f>
        <v>8C0F</v>
      </c>
      <c r="G321" t="str">
        <f>"Const Color_" &amp; A321 &amp; " = &amp;H" &amp; F321</f>
        <v>Const Color_antiquewhite4 = &amp;H8C0F</v>
      </c>
    </row>
    <row r="322" spans="1:7" ht="15" customHeight="1">
      <c r="A322" s="557" t="s">
        <v>85</v>
      </c>
      <c r="B322" s="323"/>
      <c r="C322" s="555">
        <v>222</v>
      </c>
      <c r="D322" s="555">
        <v>184</v>
      </c>
      <c r="E322" s="555">
        <v>135</v>
      </c>
      <c r="F322" s="552" t="str">
        <f>DEC2HEX(BITWISE_AND(((C322 * 249) + 1014), HEX2DEC("F800"))+BITWISE_AND(INT(((D322 * 253) + 505) / 32), HEX2DEC("07E0"))+INT(((E322 * 249) + 1014) / 2048),4)</f>
        <v>DDB0</v>
      </c>
      <c r="G322" t="str">
        <f>"Const Color_" &amp; A322 &amp; " = &amp;H" &amp; F322</f>
        <v>Const Color_burlywood = &amp;HDDB0</v>
      </c>
    </row>
    <row r="323" spans="1:7" ht="15" customHeight="1">
      <c r="A323" s="557" t="s">
        <v>312</v>
      </c>
      <c r="B323" s="324"/>
      <c r="C323" s="555">
        <v>255</v>
      </c>
      <c r="D323" s="555">
        <v>211</v>
      </c>
      <c r="E323" s="555">
        <v>155</v>
      </c>
      <c r="F323" s="552" t="str">
        <f>DEC2HEX(BITWISE_AND(((C323 * 249) + 1014), HEX2DEC("F800"))+BITWISE_AND(INT(((D323 * 253) + 505) / 32), HEX2DEC("07E0"))+INT(((E323 * 249) + 1014) / 2048),4)</f>
        <v>FE93</v>
      </c>
      <c r="G323" t="str">
        <f>"Const Color_" &amp; A323 &amp; " = &amp;H" &amp; F323</f>
        <v>Const Color_burlywood1 = &amp;HFE93</v>
      </c>
    </row>
    <row r="324" spans="1:7" ht="15" customHeight="1">
      <c r="A324" s="557" t="s">
        <v>313</v>
      </c>
      <c r="B324" s="325"/>
      <c r="C324" s="555">
        <v>238</v>
      </c>
      <c r="D324" s="555">
        <v>197</v>
      </c>
      <c r="E324" s="555">
        <v>145</v>
      </c>
      <c r="F324" s="552" t="str">
        <f>DEC2HEX(BITWISE_AND(((C324 * 249) + 1014), HEX2DEC("F800"))+BITWISE_AND(INT(((D324 * 253) + 505) / 32), HEX2DEC("07E0"))+INT(((E324 * 249) + 1014) / 2048),4)</f>
        <v>EE32</v>
      </c>
      <c r="G324" t="str">
        <f>"Const Color_" &amp; A324 &amp; " = &amp;H" &amp; F324</f>
        <v>Const Color_burlywood2 = &amp;HEE32</v>
      </c>
    </row>
    <row r="325" spans="1:7" ht="15" customHeight="1">
      <c r="A325" s="557" t="s">
        <v>314</v>
      </c>
      <c r="B325" s="326"/>
      <c r="C325" s="555">
        <v>205</v>
      </c>
      <c r="D325" s="555">
        <v>170</v>
      </c>
      <c r="E325" s="555">
        <v>125</v>
      </c>
      <c r="F325" s="552" t="str">
        <f>DEC2HEX(BITWISE_AND(((C325 * 249) + 1014), HEX2DEC("F800"))+BITWISE_AND(INT(((D325 * 253) + 505) / 32), HEX2DEC("07E0"))+INT(((E325 * 249) + 1014) / 2048),4)</f>
        <v>CD4F</v>
      </c>
      <c r="G325" t="str">
        <f>"Const Color_" &amp; A325 &amp; " = &amp;H" &amp; F325</f>
        <v>Const Color_burlywood3 = &amp;HCD4F</v>
      </c>
    </row>
    <row r="326" spans="1:7" ht="15" customHeight="1">
      <c r="A326" s="557" t="s">
        <v>315</v>
      </c>
      <c r="B326" s="327"/>
      <c r="C326" s="555">
        <v>139</v>
      </c>
      <c r="D326" s="555">
        <v>115</v>
      </c>
      <c r="E326" s="555">
        <v>85</v>
      </c>
      <c r="F326" s="552" t="str">
        <f>DEC2HEX(BITWISE_AND(((C326 * 249) + 1014), HEX2DEC("F800"))+BITWISE_AND(INT(((D326 * 253) + 505) / 32), HEX2DEC("07E0"))+INT(((E326 * 249) + 1014) / 2048),4)</f>
        <v>8B8A</v>
      </c>
      <c r="G326" t="str">
        <f>"Const Color_" &amp; A326 &amp; " = &amp;H" &amp; F326</f>
        <v>Const Color_burlywood4 = &amp;H8B8A</v>
      </c>
    </row>
    <row r="327" spans="1:7" ht="15" customHeight="1">
      <c r="A327" s="557" t="s">
        <v>530</v>
      </c>
      <c r="B327" s="328"/>
      <c r="C327" s="555">
        <v>255</v>
      </c>
      <c r="D327" s="555">
        <v>228</v>
      </c>
      <c r="E327" s="555">
        <v>196</v>
      </c>
      <c r="F327" s="552" t="str">
        <f>DEC2HEX(BITWISE_AND(((C327 * 249) + 1014), HEX2DEC("F800"))+BITWISE_AND(INT(((D327 * 253) + 505) / 32), HEX2DEC("07E0"))+INT(((E327 * 249) + 1014) / 2048),4)</f>
        <v>FF18</v>
      </c>
      <c r="G327" t="str">
        <f>"Const Color_" &amp; A327 &amp; " = &amp;H" &amp; F327</f>
        <v>Const Color_bisque = &amp;HFF18</v>
      </c>
    </row>
    <row r="328" spans="1:7" ht="15" customHeight="1">
      <c r="A328" s="557" t="s">
        <v>316</v>
      </c>
      <c r="B328" s="329"/>
      <c r="C328" s="555">
        <v>238</v>
      </c>
      <c r="D328" s="555">
        <v>213</v>
      </c>
      <c r="E328" s="555">
        <v>183</v>
      </c>
      <c r="F328" s="552" t="str">
        <f>DEC2HEX(BITWISE_AND(((C328 * 249) + 1014), HEX2DEC("F800"))+BITWISE_AND(INT(((D328 * 253) + 505) / 32), HEX2DEC("07E0"))+INT(((E328 * 249) + 1014) / 2048),4)</f>
        <v>EEB6</v>
      </c>
      <c r="G328" t="str">
        <f>"Const Color_" &amp; A328 &amp; " = &amp;H" &amp; F328</f>
        <v>Const Color_bisque2 = &amp;HEEB6</v>
      </c>
    </row>
    <row r="329" spans="1:7" ht="15" customHeight="1">
      <c r="A329" s="557" t="s">
        <v>317</v>
      </c>
      <c r="B329" s="330"/>
      <c r="C329" s="555">
        <v>205</v>
      </c>
      <c r="D329" s="555">
        <v>183</v>
      </c>
      <c r="E329" s="555">
        <v>158</v>
      </c>
      <c r="F329" s="552" t="str">
        <f>DEC2HEX(BITWISE_AND(((C329 * 249) + 1014), HEX2DEC("F800"))+BITWISE_AND(INT(((D329 * 253) + 505) / 32), HEX2DEC("07E0"))+INT(((E329 * 249) + 1014) / 2048),4)</f>
        <v>CDB3</v>
      </c>
      <c r="G329" t="str">
        <f>"Const Color_" &amp; A329 &amp; " = &amp;H" &amp; F329</f>
        <v>Const Color_bisque3 = &amp;HCDB3</v>
      </c>
    </row>
    <row r="330" spans="1:7" ht="15" customHeight="1">
      <c r="A330" s="557" t="s">
        <v>318</v>
      </c>
      <c r="B330" s="331"/>
      <c r="C330" s="555">
        <v>139</v>
      </c>
      <c r="D330" s="555">
        <v>125</v>
      </c>
      <c r="E330" s="555">
        <v>107</v>
      </c>
      <c r="F330" s="552" t="str">
        <f>DEC2HEX(BITWISE_AND(((C330 * 249) + 1014), HEX2DEC("F800"))+BITWISE_AND(INT(((D330 * 253) + 505) / 32), HEX2DEC("07E0"))+INT(((E330 * 249) + 1014) / 2048),4)</f>
        <v>8BED</v>
      </c>
      <c r="G330" t="str">
        <f>"Const Color_" &amp; A330 &amp; " = &amp;H" &amp; F330</f>
        <v>Const Color_bisque4 = &amp;H8BED</v>
      </c>
    </row>
    <row r="331" spans="1:7" ht="15" customHeight="1">
      <c r="A331" s="557" t="s">
        <v>86</v>
      </c>
      <c r="B331" s="332"/>
      <c r="C331" s="555">
        <v>227</v>
      </c>
      <c r="D331" s="555">
        <v>168</v>
      </c>
      <c r="E331" s="555">
        <v>105</v>
      </c>
      <c r="F331" s="552" t="str">
        <f>DEC2HEX(BITWISE_AND(((C331 * 249) + 1014), HEX2DEC("F800"))+BITWISE_AND(INT(((D331 * 253) + 505) / 32), HEX2DEC("07E0"))+INT(((E331 * 249) + 1014) / 2048),4)</f>
        <v>E54D</v>
      </c>
      <c r="G331" t="str">
        <f>"Const Color_" &amp; A331 &amp; " = &amp;H" &amp; F331</f>
        <v>Const Color_melon = &amp;HE54D</v>
      </c>
    </row>
    <row r="332" spans="1:7" ht="15" customHeight="1">
      <c r="A332" s="557" t="s">
        <v>87</v>
      </c>
      <c r="B332" s="333"/>
      <c r="C332" s="555">
        <v>237</v>
      </c>
      <c r="D332" s="555">
        <v>145</v>
      </c>
      <c r="E332" s="555">
        <v>33</v>
      </c>
      <c r="F332" s="552" t="str">
        <f>DEC2HEX(BITWISE_AND(((C332 * 249) + 1014), HEX2DEC("F800"))+BITWISE_AND(INT(((D332 * 253) + 505) / 32), HEX2DEC("07E0"))+INT(((E332 * 249) + 1014) / 2048),4)</f>
        <v>EC84</v>
      </c>
      <c r="G332" t="str">
        <f>"Const Color_" &amp; A332 &amp; " = &amp;H" &amp; F332</f>
        <v>Const Color_carrot = &amp;HEC84</v>
      </c>
    </row>
    <row r="333" spans="1:7" ht="15" customHeight="1">
      <c r="A333" s="557" t="s">
        <v>88</v>
      </c>
      <c r="B333" s="334"/>
      <c r="C333" s="555">
        <v>255</v>
      </c>
      <c r="D333" s="555">
        <v>140</v>
      </c>
      <c r="E333" s="555">
        <v>0</v>
      </c>
      <c r="F333" s="552" t="str">
        <f>DEC2HEX(BITWISE_AND(((C333 * 249) + 1014), HEX2DEC("F800"))+BITWISE_AND(INT(((D333 * 253) + 505) / 32), HEX2DEC("07E0"))+INT(((E333 * 249) + 1014) / 2048),4)</f>
        <v>FC60</v>
      </c>
      <c r="G333" t="str">
        <f>"Const Color_" &amp; A333 &amp; " = &amp;H" &amp; F333</f>
        <v>Const Color_darkorange = &amp;HFC60</v>
      </c>
    </row>
    <row r="334" spans="1:7" ht="15" customHeight="1">
      <c r="A334" s="557" t="s">
        <v>319</v>
      </c>
      <c r="B334" s="335"/>
      <c r="C334" s="555">
        <v>255</v>
      </c>
      <c r="D334" s="555">
        <v>127</v>
      </c>
      <c r="E334" s="555">
        <v>0</v>
      </c>
      <c r="F334" s="552" t="str">
        <f>DEC2HEX(BITWISE_AND(((C334 * 249) + 1014), HEX2DEC("F800"))+BITWISE_AND(INT(((D334 * 253) + 505) / 32), HEX2DEC("07E0"))+INT(((E334 * 249) + 1014) / 2048),4)</f>
        <v>FBE0</v>
      </c>
      <c r="G334" t="str">
        <f>"Const Color_" &amp; A334 &amp; " = &amp;H" &amp; F334</f>
        <v>Const Color_darkorange1 = &amp;HFBE0</v>
      </c>
    </row>
    <row r="335" spans="1:7" ht="15" customHeight="1">
      <c r="A335" s="557" t="s">
        <v>320</v>
      </c>
      <c r="B335" s="336"/>
      <c r="C335" s="555">
        <v>238</v>
      </c>
      <c r="D335" s="555">
        <v>118</v>
      </c>
      <c r="E335" s="555">
        <v>0</v>
      </c>
      <c r="F335" s="552" t="str">
        <f>DEC2HEX(BITWISE_AND(((C335 * 249) + 1014), HEX2DEC("F800"))+BITWISE_AND(INT(((D335 * 253) + 505) / 32), HEX2DEC("07E0"))+INT(((E335 * 249) + 1014) / 2048),4)</f>
        <v>EBA0</v>
      </c>
      <c r="G335" t="str">
        <f>"Const Color_" &amp; A335 &amp; " = &amp;H" &amp; F335</f>
        <v>Const Color_darkorange2 = &amp;HEBA0</v>
      </c>
    </row>
    <row r="336" spans="1:7" ht="15" customHeight="1">
      <c r="A336" s="557" t="s">
        <v>321</v>
      </c>
      <c r="B336" s="337"/>
      <c r="C336" s="555">
        <v>205</v>
      </c>
      <c r="D336" s="555">
        <v>102</v>
      </c>
      <c r="E336" s="555">
        <v>0</v>
      </c>
      <c r="F336" s="552" t="str">
        <f>DEC2HEX(BITWISE_AND(((C336 * 249) + 1014), HEX2DEC("F800"))+BITWISE_AND(INT(((D336 * 253) + 505) / 32), HEX2DEC("07E0"))+INT(((E336 * 249) + 1014) / 2048),4)</f>
        <v>CB20</v>
      </c>
      <c r="G336" t="str">
        <f>"Const Color_" &amp; A336 &amp; " = &amp;H" &amp; F336</f>
        <v>Const Color_darkorange3 = &amp;HCB20</v>
      </c>
    </row>
    <row r="337" spans="1:7" ht="15" customHeight="1">
      <c r="A337" s="557" t="s">
        <v>322</v>
      </c>
      <c r="B337" s="338"/>
      <c r="C337" s="555">
        <v>139</v>
      </c>
      <c r="D337" s="555">
        <v>69</v>
      </c>
      <c r="E337" s="555">
        <v>0</v>
      </c>
      <c r="F337" s="552" t="str">
        <f>DEC2HEX(BITWISE_AND(((C337 * 249) + 1014), HEX2DEC("F800"))+BITWISE_AND(INT(((D337 * 253) + 505) / 32), HEX2DEC("07E0"))+INT(((E337 * 249) + 1014) / 2048),4)</f>
        <v>8A20</v>
      </c>
      <c r="G337" t="str">
        <f>"Const Color_" &amp; A337 &amp; " = &amp;H" &amp; F337</f>
        <v>Const Color_darkorange4 = &amp;H8A20</v>
      </c>
    </row>
    <row r="338" spans="1:7" ht="15" customHeight="1">
      <c r="A338" s="557" t="s">
        <v>323</v>
      </c>
      <c r="B338" s="339"/>
      <c r="C338" s="555">
        <v>255</v>
      </c>
      <c r="D338" s="555">
        <v>165</v>
      </c>
      <c r="E338" s="555">
        <v>79</v>
      </c>
      <c r="F338" s="552" t="str">
        <f>DEC2HEX(BITWISE_AND(((C338 * 249) + 1014), HEX2DEC("F800"))+BITWISE_AND(INT(((D338 * 253) + 505) / 32), HEX2DEC("07E0"))+INT(((E338 * 249) + 1014) / 2048),4)</f>
        <v>FD2A</v>
      </c>
      <c r="G338" t="str">
        <f>"Const Color_" &amp; A338 &amp; " = &amp;H" &amp; F338</f>
        <v>Const Color_tan1 = &amp;HFD2A</v>
      </c>
    </row>
    <row r="339" spans="1:7" ht="15" customHeight="1">
      <c r="A339" s="557" t="s">
        <v>324</v>
      </c>
      <c r="B339" s="340"/>
      <c r="C339" s="555">
        <v>238</v>
      </c>
      <c r="D339" s="555">
        <v>154</v>
      </c>
      <c r="E339" s="555">
        <v>73</v>
      </c>
      <c r="F339" s="552" t="str">
        <f>DEC2HEX(BITWISE_AND(((C339 * 249) + 1014), HEX2DEC("F800"))+BITWISE_AND(INT(((D339 * 253) + 505) / 32), HEX2DEC("07E0"))+INT(((E339 * 249) + 1014) / 2048),4)</f>
        <v>ECC9</v>
      </c>
      <c r="G339" t="str">
        <f>"Const Color_" &amp; A339 &amp; " = &amp;H" &amp; F339</f>
        <v>Const Color_tan2 = &amp;HECC9</v>
      </c>
    </row>
    <row r="340" spans="1:7" ht="15" customHeight="1">
      <c r="A340" s="557" t="s">
        <v>531</v>
      </c>
      <c r="B340" s="341"/>
      <c r="C340" s="555">
        <v>205</v>
      </c>
      <c r="D340" s="555">
        <v>133</v>
      </c>
      <c r="E340" s="555">
        <v>63</v>
      </c>
      <c r="F340" s="552" t="str">
        <f>DEC2HEX(BITWISE_AND(((C340 * 249) + 1014), HEX2DEC("F800"))+BITWISE_AND(INT(((D340 * 253) + 505) / 32), HEX2DEC("07E0"))+INT(((E340 * 249) + 1014) / 2048),4)</f>
        <v>CC28</v>
      </c>
      <c r="G340" t="str">
        <f>"Const Color_" &amp; A340 &amp; " = &amp;H" &amp; F340</f>
        <v>Const Color_peru = &amp;HCC28</v>
      </c>
    </row>
    <row r="341" spans="1:7" ht="15" customHeight="1">
      <c r="A341" s="557" t="s">
        <v>325</v>
      </c>
      <c r="B341" s="342"/>
      <c r="C341" s="555">
        <v>139</v>
      </c>
      <c r="D341" s="555">
        <v>90</v>
      </c>
      <c r="E341" s="555">
        <v>43</v>
      </c>
      <c r="F341" s="552" t="str">
        <f>DEC2HEX(BITWISE_AND(((C341 * 249) + 1014), HEX2DEC("F800"))+BITWISE_AND(INT(((D341 * 253) + 505) / 32), HEX2DEC("07E0"))+INT(((E341 * 249) + 1014) / 2048),4)</f>
        <v>8AC5</v>
      </c>
      <c r="G341" t="str">
        <f>"Const Color_" &amp; A341 &amp; " = &amp;H" &amp; F341</f>
        <v>Const Color_tan4 = &amp;H8AC5</v>
      </c>
    </row>
    <row r="342" spans="1:7" ht="15" customHeight="1">
      <c r="A342" s="557" t="s">
        <v>90</v>
      </c>
      <c r="B342" s="343"/>
      <c r="C342" s="555">
        <v>250</v>
      </c>
      <c r="D342" s="555">
        <v>240</v>
      </c>
      <c r="E342" s="555">
        <v>230</v>
      </c>
      <c r="F342" s="552" t="str">
        <f>DEC2HEX(BITWISE_AND(((C342 * 249) + 1014), HEX2DEC("F800"))+BITWISE_AND(INT(((D342 * 253) + 505) / 32), HEX2DEC("07E0"))+INT(((E342 * 249) + 1014) / 2048),4)</f>
        <v>F77C</v>
      </c>
      <c r="G342" t="str">
        <f>"Const Color_" &amp; A342 &amp; " = &amp;H" &amp; F342</f>
        <v>Const Color_linen = &amp;HF77C</v>
      </c>
    </row>
    <row r="343" spans="1:7" ht="15" customHeight="1">
      <c r="A343" s="557" t="s">
        <v>532</v>
      </c>
      <c r="B343" s="344"/>
      <c r="C343" s="555">
        <v>255</v>
      </c>
      <c r="D343" s="555">
        <v>218</v>
      </c>
      <c r="E343" s="555">
        <v>185</v>
      </c>
      <c r="F343" s="552" t="str">
        <f>DEC2HEX(BITWISE_AND(((C343 * 249) + 1014), HEX2DEC("F800"))+BITWISE_AND(INT(((D343 * 253) + 505) / 32), HEX2DEC("07E0"))+INT(((E343 * 249) + 1014) / 2048),4)</f>
        <v>FED6</v>
      </c>
      <c r="G343" t="str">
        <f>"Const Color_" &amp; A343 &amp; " = &amp;H" &amp; F343</f>
        <v>Const Color_peachpuff = &amp;HFED6</v>
      </c>
    </row>
    <row r="344" spans="1:7" ht="15" customHeight="1">
      <c r="A344" s="557" t="s">
        <v>326</v>
      </c>
      <c r="B344" s="345"/>
      <c r="C344" s="555">
        <v>238</v>
      </c>
      <c r="D344" s="555">
        <v>203</v>
      </c>
      <c r="E344" s="555">
        <v>173</v>
      </c>
      <c r="F344" s="552" t="str">
        <f>DEC2HEX(BITWISE_AND(((C344 * 249) + 1014), HEX2DEC("F800"))+BITWISE_AND(INT(((D344 * 253) + 505) / 32), HEX2DEC("07E0"))+INT(((E344 * 249) + 1014) / 2048),4)</f>
        <v>EE55</v>
      </c>
      <c r="G344" t="str">
        <f>"Const Color_" &amp; A344 &amp; " = &amp;H" &amp; F344</f>
        <v>Const Color_peachpuff2 = &amp;HEE55</v>
      </c>
    </row>
    <row r="345" spans="1:7" ht="15" customHeight="1">
      <c r="A345" s="557" t="s">
        <v>327</v>
      </c>
      <c r="B345" s="346"/>
      <c r="C345" s="555">
        <v>205</v>
      </c>
      <c r="D345" s="555">
        <v>175</v>
      </c>
      <c r="E345" s="555">
        <v>149</v>
      </c>
      <c r="F345" s="552" t="str">
        <f>DEC2HEX(BITWISE_AND(((C345 * 249) + 1014), HEX2DEC("F800"))+BITWISE_AND(INT(((D345 * 253) + 505) / 32), HEX2DEC("07E0"))+INT(((E345 * 249) + 1014) / 2048),4)</f>
        <v>CD72</v>
      </c>
      <c r="G345" t="str">
        <f>"Const Color_" &amp; A345 &amp; " = &amp;H" &amp; F345</f>
        <v>Const Color_peachpuff3 = &amp;HCD72</v>
      </c>
    </row>
    <row r="346" spans="1:7" ht="15" customHeight="1">
      <c r="A346" s="557" t="s">
        <v>328</v>
      </c>
      <c r="B346" s="347"/>
      <c r="C346" s="555">
        <v>139</v>
      </c>
      <c r="D346" s="555">
        <v>119</v>
      </c>
      <c r="E346" s="555">
        <v>101</v>
      </c>
      <c r="F346" s="552" t="str">
        <f>DEC2HEX(BITWISE_AND(((C346 * 249) + 1014), HEX2DEC("F800"))+BITWISE_AND(INT(((D346 * 253) + 505) / 32), HEX2DEC("07E0"))+INT(((E346 * 249) + 1014) / 2048),4)</f>
        <v>8BAC</v>
      </c>
      <c r="G346" t="str">
        <f>"Const Color_" &amp; A346 &amp; " = &amp;H" &amp; F346</f>
        <v>Const Color_peachpuff4 = &amp;H8BAC</v>
      </c>
    </row>
    <row r="347" spans="1:7" ht="15" customHeight="1">
      <c r="A347" s="557" t="s">
        <v>533</v>
      </c>
      <c r="B347" s="348"/>
      <c r="C347" s="555">
        <v>255</v>
      </c>
      <c r="D347" s="555">
        <v>245</v>
      </c>
      <c r="E347" s="555">
        <v>238</v>
      </c>
      <c r="F347" s="552" t="str">
        <f>DEC2HEX(BITWISE_AND(((C347 * 249) + 1014), HEX2DEC("F800"))+BITWISE_AND(INT(((D347 * 253) + 505) / 32), HEX2DEC("07E0"))+INT(((E347 * 249) + 1014) / 2048),4)</f>
        <v>FFBD</v>
      </c>
      <c r="G347" t="str">
        <f>"Const Color_" &amp; A347 &amp; " = &amp;H" &amp; F347</f>
        <v>Const Color_seashell = &amp;HFFBD</v>
      </c>
    </row>
    <row r="348" spans="1:7" ht="15" customHeight="1">
      <c r="A348" s="557" t="s">
        <v>329</v>
      </c>
      <c r="B348" s="349"/>
      <c r="C348" s="555">
        <v>238</v>
      </c>
      <c r="D348" s="555">
        <v>229</v>
      </c>
      <c r="E348" s="555">
        <v>222</v>
      </c>
      <c r="F348" s="552" t="str">
        <f>DEC2HEX(BITWISE_AND(((C348 * 249) + 1014), HEX2DEC("F800"))+BITWISE_AND(INT(((D348 * 253) + 505) / 32), HEX2DEC("07E0"))+INT(((E348 * 249) + 1014) / 2048),4)</f>
        <v>EF3B</v>
      </c>
      <c r="G348" t="str">
        <f>"Const Color_" &amp; A348 &amp; " = &amp;H" &amp; F348</f>
        <v>Const Color_seashell2 = &amp;HEF3B</v>
      </c>
    </row>
    <row r="349" spans="1:7" ht="15" customHeight="1">
      <c r="A349" s="557" t="s">
        <v>330</v>
      </c>
      <c r="B349" s="350"/>
      <c r="C349" s="555">
        <v>205</v>
      </c>
      <c r="D349" s="555">
        <v>197</v>
      </c>
      <c r="E349" s="555">
        <v>191</v>
      </c>
      <c r="F349" s="552" t="str">
        <f>DEC2HEX(BITWISE_AND(((C349 * 249) + 1014), HEX2DEC("F800"))+BITWISE_AND(INT(((D349 * 253) + 505) / 32), HEX2DEC("07E0"))+INT(((E349 * 249) + 1014) / 2048),4)</f>
        <v>CE37</v>
      </c>
      <c r="G349" t="str">
        <f>"Const Color_" &amp; A349 &amp; " = &amp;H" &amp; F349</f>
        <v>Const Color_seashell3 = &amp;HCE37</v>
      </c>
    </row>
    <row r="350" spans="1:7" ht="15" customHeight="1">
      <c r="A350" s="557" t="s">
        <v>331</v>
      </c>
      <c r="B350" s="351"/>
      <c r="C350" s="555">
        <v>139</v>
      </c>
      <c r="D350" s="555">
        <v>134</v>
      </c>
      <c r="E350" s="555">
        <v>130</v>
      </c>
      <c r="F350" s="552" t="str">
        <f>DEC2HEX(BITWISE_AND(((C350 * 249) + 1014), HEX2DEC("F800"))+BITWISE_AND(INT(((D350 * 253) + 505) / 32), HEX2DEC("07E0"))+INT(((E350 * 249) + 1014) / 2048),4)</f>
        <v>8C30</v>
      </c>
      <c r="G350" t="str">
        <f>"Const Color_" &amp; A350 &amp; " = &amp;H" &amp; F350</f>
        <v>Const Color_seashell4 = &amp;H8C30</v>
      </c>
    </row>
    <row r="351" spans="1:7" ht="15" customHeight="1">
      <c r="A351" s="557" t="s">
        <v>91</v>
      </c>
      <c r="B351" s="352"/>
      <c r="C351" s="555">
        <v>244</v>
      </c>
      <c r="D351" s="555">
        <v>164</v>
      </c>
      <c r="E351" s="555">
        <v>96</v>
      </c>
      <c r="F351" s="552" t="str">
        <f>DEC2HEX(BITWISE_AND(((C351 * 249) + 1014), HEX2DEC("F800"))+BITWISE_AND(INT(((D351 * 253) + 505) / 32), HEX2DEC("07E0"))+INT(((E351 * 249) + 1014) / 2048),4)</f>
        <v>F52C</v>
      </c>
      <c r="G351" t="str">
        <f>"Const Color_" &amp; A351 &amp; " = &amp;H" &amp; F351</f>
        <v>Const Color_sandybrown = &amp;HF52C</v>
      </c>
    </row>
    <row r="352" spans="1:7" ht="15" customHeight="1">
      <c r="A352" s="557" t="s">
        <v>92</v>
      </c>
      <c r="B352" s="353"/>
      <c r="C352" s="555">
        <v>199</v>
      </c>
      <c r="D352" s="555">
        <v>97</v>
      </c>
      <c r="E352" s="555">
        <v>20</v>
      </c>
      <c r="F352" s="552" t="str">
        <f>DEC2HEX(BITWISE_AND(((C352 * 249) + 1014), HEX2DEC("F800"))+BITWISE_AND(INT(((D352 * 253) + 505) / 32), HEX2DEC("07E0"))+INT(((E352 * 249) + 1014) / 2048),4)</f>
        <v>C302</v>
      </c>
      <c r="G352" t="str">
        <f>"Const Color_" &amp; A352 &amp; " = &amp;H" &amp; F352</f>
        <v>Const Color_rawsienna = &amp;HC302</v>
      </c>
    </row>
    <row r="353" spans="1:7" ht="15" customHeight="1">
      <c r="A353" s="557" t="s">
        <v>93</v>
      </c>
      <c r="B353" s="354"/>
      <c r="C353" s="555">
        <v>210</v>
      </c>
      <c r="D353" s="555">
        <v>105</v>
      </c>
      <c r="E353" s="555">
        <v>30</v>
      </c>
      <c r="F353" s="552" t="str">
        <f>DEC2HEX(BITWISE_AND(((C353 * 249) + 1014), HEX2DEC("F800"))+BITWISE_AND(INT(((D353 * 253) + 505) / 32), HEX2DEC("07E0"))+INT(((E353 * 249) + 1014) / 2048),4)</f>
        <v>D344</v>
      </c>
      <c r="G353" t="str">
        <f>"Const Color_" &amp; A353 &amp; " = &amp;H" &amp; F353</f>
        <v>Const Color_chocolate = &amp;HD344</v>
      </c>
    </row>
    <row r="354" spans="1:7" ht="15" customHeight="1">
      <c r="A354" s="557" t="s">
        <v>332</v>
      </c>
      <c r="B354" s="355"/>
      <c r="C354" s="555">
        <v>255</v>
      </c>
      <c r="D354" s="555">
        <v>127</v>
      </c>
      <c r="E354" s="555">
        <v>36</v>
      </c>
      <c r="F354" s="552" t="str">
        <f>DEC2HEX(BITWISE_AND(((C354 * 249) + 1014), HEX2DEC("F800"))+BITWISE_AND(INT(((D354 * 253) + 505) / 32), HEX2DEC("07E0"))+INT(((E354 * 249) + 1014) / 2048),4)</f>
        <v>FBE4</v>
      </c>
      <c r="G354" t="str">
        <f>"Const Color_" &amp; A354 &amp; " = &amp;H" &amp; F354</f>
        <v>Const Color_chocolate1 = &amp;HFBE4</v>
      </c>
    </row>
    <row r="355" spans="1:7" ht="15" customHeight="1">
      <c r="A355" s="557" t="s">
        <v>333</v>
      </c>
      <c r="B355" s="356"/>
      <c r="C355" s="555">
        <v>238</v>
      </c>
      <c r="D355" s="555">
        <v>118</v>
      </c>
      <c r="E355" s="555">
        <v>33</v>
      </c>
      <c r="F355" s="552" t="str">
        <f>DEC2HEX(BITWISE_AND(((C355 * 249) + 1014), HEX2DEC("F800"))+BITWISE_AND(INT(((D355 * 253) + 505) / 32), HEX2DEC("07E0"))+INT(((E355 * 249) + 1014) / 2048),4)</f>
        <v>EBA4</v>
      </c>
      <c r="G355" t="str">
        <f>"Const Color_" &amp; A355 &amp; " = &amp;H" &amp; F355</f>
        <v>Const Color_chocolate2 = &amp;HEBA4</v>
      </c>
    </row>
    <row r="356" spans="1:7" ht="15" customHeight="1">
      <c r="A356" s="557" t="s">
        <v>334</v>
      </c>
      <c r="B356" s="357"/>
      <c r="C356" s="555">
        <v>205</v>
      </c>
      <c r="D356" s="555">
        <v>102</v>
      </c>
      <c r="E356" s="555">
        <v>29</v>
      </c>
      <c r="F356" s="552" t="str">
        <f>DEC2HEX(BITWISE_AND(((C356 * 249) + 1014), HEX2DEC("F800"))+BITWISE_AND(INT(((D356 * 253) + 505) / 32), HEX2DEC("07E0"))+INT(((E356 * 249) + 1014) / 2048),4)</f>
        <v>CB24</v>
      </c>
      <c r="G356" t="str">
        <f>"Const Color_" &amp; A356 &amp; " = &amp;H" &amp; F356</f>
        <v>Const Color_chocolate3 = &amp;HCB24</v>
      </c>
    </row>
    <row r="357" spans="1:7" ht="15" customHeight="1">
      <c r="A357" s="557" t="s">
        <v>534</v>
      </c>
      <c r="B357" s="358"/>
      <c r="C357" s="555">
        <v>139</v>
      </c>
      <c r="D357" s="555">
        <v>69</v>
      </c>
      <c r="E357" s="555">
        <v>19</v>
      </c>
      <c r="F357" s="552" t="str">
        <f>DEC2HEX(BITWISE_AND(((C357 * 249) + 1014), HEX2DEC("F800"))+BITWISE_AND(INT(((D357 * 253) + 505) / 32), HEX2DEC("07E0"))+INT(((E357 * 249) + 1014) / 2048),4)</f>
        <v>8A22</v>
      </c>
      <c r="G357" t="str">
        <f>"Const Color_" &amp; A357 &amp; " = &amp;H" &amp; F357</f>
        <v>Const Color_saddlebrown = &amp;H8A22</v>
      </c>
    </row>
    <row r="358" spans="1:7" ht="15" customHeight="1">
      <c r="A358" s="557" t="s">
        <v>94</v>
      </c>
      <c r="B358" s="359"/>
      <c r="C358" s="555">
        <v>41</v>
      </c>
      <c r="D358" s="555">
        <v>36</v>
      </c>
      <c r="E358" s="555">
        <v>33</v>
      </c>
      <c r="F358" s="552" t="str">
        <f>DEC2HEX(BITWISE_AND(((C358 * 249) + 1014), HEX2DEC("F800"))+BITWISE_AND(INT(((D358 * 253) + 505) / 32), HEX2DEC("07E0"))+INT(((E358 * 249) + 1014) / 2048),4)</f>
        <v>2924</v>
      </c>
      <c r="G358" t="str">
        <f>"Const Color_" &amp; A358 &amp; " = &amp;H" &amp; F358</f>
        <v>Const Color_ivoryblack = &amp;H2924</v>
      </c>
    </row>
    <row r="359" spans="1:7" ht="15" customHeight="1">
      <c r="A359" s="557" t="s">
        <v>95</v>
      </c>
      <c r="B359" s="360"/>
      <c r="C359" s="555">
        <v>255</v>
      </c>
      <c r="D359" s="555">
        <v>125</v>
      </c>
      <c r="E359" s="555">
        <v>64</v>
      </c>
      <c r="F359" s="552" t="str">
        <f>DEC2HEX(BITWISE_AND(((C359 * 249) + 1014), HEX2DEC("F800"))+BITWISE_AND(INT(((D359 * 253) + 505) / 32), HEX2DEC("07E0"))+INT(((E359 * 249) + 1014) / 2048),4)</f>
        <v>FBE8</v>
      </c>
      <c r="G359" t="str">
        <f>"Const Color_" &amp; A359 &amp; " = &amp;H" &amp; F359</f>
        <v>Const Color_flesh = &amp;HFBE8</v>
      </c>
    </row>
    <row r="360" spans="1:7" ht="15" customHeight="1">
      <c r="A360" s="557" t="s">
        <v>96</v>
      </c>
      <c r="B360" s="361"/>
      <c r="C360" s="555">
        <v>255</v>
      </c>
      <c r="D360" s="555">
        <v>97</v>
      </c>
      <c r="E360" s="555">
        <v>3</v>
      </c>
      <c r="F360" s="552" t="str">
        <f>DEC2HEX(BITWISE_AND(((C360 * 249) + 1014), HEX2DEC("F800"))+BITWISE_AND(INT(((D360 * 253) + 505) / 32), HEX2DEC("07E0"))+INT(((E360 * 249) + 1014) / 2048),4)</f>
        <v>FB00</v>
      </c>
      <c r="G360" t="str">
        <f>"Const Color_" &amp; A360 &amp; " = &amp;H" &amp; F360</f>
        <v>Const Color_cadmiumorange = &amp;HFB00</v>
      </c>
    </row>
    <row r="361" spans="1:7" ht="15" customHeight="1">
      <c r="A361" s="557" t="s">
        <v>97</v>
      </c>
      <c r="B361" s="362"/>
      <c r="C361" s="555">
        <v>138</v>
      </c>
      <c r="D361" s="555">
        <v>54</v>
      </c>
      <c r="E361" s="555">
        <v>15</v>
      </c>
      <c r="F361" s="552" t="str">
        <f>DEC2HEX(BITWISE_AND(((C361 * 249) + 1014), HEX2DEC("F800"))+BITWISE_AND(INT(((D361 * 253) + 505) / 32), HEX2DEC("07E0"))+INT(((E361 * 249) + 1014) / 2048),4)</f>
        <v>89A2</v>
      </c>
      <c r="G361" t="str">
        <f>"Const Color_" &amp; A361 &amp; " = &amp;H" &amp; F361</f>
        <v>Const Color_burntsienna = &amp;H89A2</v>
      </c>
    </row>
    <row r="362" spans="1:7" ht="15" customHeight="1">
      <c r="A362" s="557" t="s">
        <v>98</v>
      </c>
      <c r="B362" s="363"/>
      <c r="C362" s="555">
        <v>160</v>
      </c>
      <c r="D362" s="555">
        <v>82</v>
      </c>
      <c r="E362" s="555">
        <v>45</v>
      </c>
      <c r="F362" s="552" t="str">
        <f>DEC2HEX(BITWISE_AND(((C362 * 249) + 1014), HEX2DEC("F800"))+BITWISE_AND(INT(((D362 * 253) + 505) / 32), HEX2DEC("07E0"))+INT(((E362 * 249) + 1014) / 2048),4)</f>
        <v>9A85</v>
      </c>
      <c r="G362" t="str">
        <f>"Const Color_" &amp; A362 &amp; " = &amp;H" &amp; F362</f>
        <v>Const Color_sienna = &amp;H9A85</v>
      </c>
    </row>
    <row r="363" spans="1:7" ht="15" customHeight="1">
      <c r="A363" s="557" t="s">
        <v>335</v>
      </c>
      <c r="B363" s="364"/>
      <c r="C363" s="555">
        <v>255</v>
      </c>
      <c r="D363" s="555">
        <v>130</v>
      </c>
      <c r="E363" s="555">
        <v>71</v>
      </c>
      <c r="F363" s="552" t="str">
        <f>DEC2HEX(BITWISE_AND(((C363 * 249) + 1014), HEX2DEC("F800"))+BITWISE_AND(INT(((D363 * 253) + 505) / 32), HEX2DEC("07E0"))+INT(((E363 * 249) + 1014) / 2048),4)</f>
        <v>FC09</v>
      </c>
      <c r="G363" t="str">
        <f>"Const Color_" &amp; A363 &amp; " = &amp;H" &amp; F363</f>
        <v>Const Color_sienna1 = &amp;HFC09</v>
      </c>
    </row>
    <row r="364" spans="1:7" ht="15" customHeight="1">
      <c r="A364" s="557" t="s">
        <v>336</v>
      </c>
      <c r="B364" s="365"/>
      <c r="C364" s="555">
        <v>238</v>
      </c>
      <c r="D364" s="555">
        <v>121</v>
      </c>
      <c r="E364" s="555">
        <v>66</v>
      </c>
      <c r="F364" s="552" t="str">
        <f>DEC2HEX(BITWISE_AND(((C364 * 249) + 1014), HEX2DEC("F800"))+BITWISE_AND(INT(((D364 * 253) + 505) / 32), HEX2DEC("07E0"))+INT(((E364 * 249) + 1014) / 2048),4)</f>
        <v>EBC8</v>
      </c>
      <c r="G364" t="str">
        <f>"Const Color_" &amp; A364 &amp; " = &amp;H" &amp; F364</f>
        <v>Const Color_sienna2 = &amp;HEBC8</v>
      </c>
    </row>
    <row r="365" spans="1:7" ht="15" customHeight="1">
      <c r="A365" s="557" t="s">
        <v>337</v>
      </c>
      <c r="B365" s="366"/>
      <c r="C365" s="555">
        <v>205</v>
      </c>
      <c r="D365" s="555">
        <v>104</v>
      </c>
      <c r="E365" s="555">
        <v>57</v>
      </c>
      <c r="F365" s="552" t="str">
        <f>DEC2HEX(BITWISE_AND(((C365 * 249) + 1014), HEX2DEC("F800"))+BITWISE_AND(INT(((D365 * 253) + 505) / 32), HEX2DEC("07E0"))+INT(((E365 * 249) + 1014) / 2048),4)</f>
        <v>CB47</v>
      </c>
      <c r="G365" t="str">
        <f>"Const Color_" &amp; A365 &amp; " = &amp;H" &amp; F365</f>
        <v>Const Color_sienna3 = &amp;HCB47</v>
      </c>
    </row>
    <row r="366" spans="1:7" ht="15" customHeight="1">
      <c r="A366" s="557" t="s">
        <v>338</v>
      </c>
      <c r="B366" s="367"/>
      <c r="C366" s="555">
        <v>139</v>
      </c>
      <c r="D366" s="555">
        <v>71</v>
      </c>
      <c r="E366" s="555">
        <v>38</v>
      </c>
      <c r="F366" s="552" t="str">
        <f>DEC2HEX(BITWISE_AND(((C366 * 249) + 1014), HEX2DEC("F800"))+BITWISE_AND(INT(((D366 * 253) + 505) / 32), HEX2DEC("07E0"))+INT(((E366 * 249) + 1014) / 2048),4)</f>
        <v>8A45</v>
      </c>
      <c r="G366" t="str">
        <f>"Const Color_" &amp; A366 &amp; " = &amp;H" &amp; F366</f>
        <v>Const Color_sienna4 = &amp;H8A45</v>
      </c>
    </row>
    <row r="367" spans="1:7" ht="15" customHeight="1">
      <c r="A367" s="557" t="s">
        <v>535</v>
      </c>
      <c r="B367" s="368"/>
      <c r="C367" s="555">
        <v>255</v>
      </c>
      <c r="D367" s="555">
        <v>160</v>
      </c>
      <c r="E367" s="555">
        <v>122</v>
      </c>
      <c r="F367" s="552" t="str">
        <f>DEC2HEX(BITWISE_AND(((C367 * 249) + 1014), HEX2DEC("F800"))+BITWISE_AND(INT(((D367 * 253) + 505) / 32), HEX2DEC("07E0"))+INT(((E367 * 249) + 1014) / 2048),4)</f>
        <v>FD0F</v>
      </c>
      <c r="G367" t="str">
        <f>"Const Color_" &amp; A367 &amp; " = &amp;H" &amp; F367</f>
        <v>Const Color_lightsalmon = &amp;HFD0F</v>
      </c>
    </row>
    <row r="368" spans="1:7" ht="15" customHeight="1">
      <c r="A368" s="557" t="s">
        <v>339</v>
      </c>
      <c r="B368" s="369"/>
      <c r="C368" s="555">
        <v>238</v>
      </c>
      <c r="D368" s="555">
        <v>149</v>
      </c>
      <c r="E368" s="555">
        <v>114</v>
      </c>
      <c r="F368" s="552" t="str">
        <f>DEC2HEX(BITWISE_AND(((C368 * 249) + 1014), HEX2DEC("F800"))+BITWISE_AND(INT(((D368 * 253) + 505) / 32), HEX2DEC("07E0"))+INT(((E368 * 249) + 1014) / 2048),4)</f>
        <v>ECAE</v>
      </c>
      <c r="G368" t="str">
        <f>"Const Color_" &amp; A368 &amp; " = &amp;H" &amp; F368</f>
        <v>Const Color_lightsalmon2 = &amp;HECAE</v>
      </c>
    </row>
    <row r="369" spans="1:7" ht="15" customHeight="1">
      <c r="A369" s="557" t="s">
        <v>340</v>
      </c>
      <c r="B369" s="370"/>
      <c r="C369" s="555">
        <v>205</v>
      </c>
      <c r="D369" s="555">
        <v>129</v>
      </c>
      <c r="E369" s="555">
        <v>98</v>
      </c>
      <c r="F369" s="552" t="str">
        <f>DEC2HEX(BITWISE_AND(((C369 * 249) + 1014), HEX2DEC("F800"))+BITWISE_AND(INT(((D369 * 253) + 505) / 32), HEX2DEC("07E0"))+INT(((E369 * 249) + 1014) / 2048),4)</f>
        <v>CC0C</v>
      </c>
      <c r="G369" t="str">
        <f>"Const Color_" &amp; A369 &amp; " = &amp;H" &amp; F369</f>
        <v>Const Color_lightsalmon3 = &amp;HCC0C</v>
      </c>
    </row>
    <row r="370" spans="1:7" ht="15" customHeight="1">
      <c r="A370" s="557" t="s">
        <v>341</v>
      </c>
      <c r="B370" s="371"/>
      <c r="C370" s="555">
        <v>139</v>
      </c>
      <c r="D370" s="555">
        <v>87</v>
      </c>
      <c r="E370" s="555">
        <v>66</v>
      </c>
      <c r="F370" s="552" t="str">
        <f>DEC2HEX(BITWISE_AND(((C370 * 249) + 1014), HEX2DEC("F800"))+BITWISE_AND(INT(((D370 * 253) + 505) / 32), HEX2DEC("07E0"))+INT(((E370 * 249) + 1014) / 2048),4)</f>
        <v>8AA8</v>
      </c>
      <c r="G370" t="str">
        <f>"Const Color_" &amp; A370 &amp; " = &amp;H" &amp; F370</f>
        <v>Const Color_lightsalmon4 = &amp;H8AA8</v>
      </c>
    </row>
    <row r="371" spans="1:7" ht="15" customHeight="1">
      <c r="A371" s="557" t="s">
        <v>99</v>
      </c>
      <c r="B371" s="372"/>
      <c r="C371" s="555">
        <v>255</v>
      </c>
      <c r="D371" s="555">
        <v>127</v>
      </c>
      <c r="E371" s="555">
        <v>80</v>
      </c>
      <c r="F371" s="552" t="str">
        <f>DEC2HEX(BITWISE_AND(((C371 * 249) + 1014), HEX2DEC("F800"))+BITWISE_AND(INT(((D371 * 253) + 505) / 32), HEX2DEC("07E0"))+INT(((E371 * 249) + 1014) / 2048),4)</f>
        <v>FBEA</v>
      </c>
      <c r="G371" t="str">
        <f>"Const Color_" &amp; A371 &amp; " = &amp;H" &amp; F371</f>
        <v>Const Color_coral = &amp;HFBEA</v>
      </c>
    </row>
    <row r="372" spans="1:7" ht="15" customHeight="1">
      <c r="A372" s="557" t="s">
        <v>536</v>
      </c>
      <c r="B372" s="373"/>
      <c r="C372" s="555">
        <v>255</v>
      </c>
      <c r="D372" s="555">
        <v>69</v>
      </c>
      <c r="E372" s="555">
        <v>0</v>
      </c>
      <c r="F372" s="552" t="str">
        <f>DEC2HEX(BITWISE_AND(((C372 * 249) + 1014), HEX2DEC("F800"))+BITWISE_AND(INT(((D372 * 253) + 505) / 32), HEX2DEC("07E0"))+INT(((E372 * 249) + 1014) / 2048),4)</f>
        <v>FA20</v>
      </c>
      <c r="G372" t="str">
        <f>"Const Color_" &amp; A372 &amp; " = &amp;H" &amp; F372</f>
        <v>Const Color_orangered = &amp;HFA20</v>
      </c>
    </row>
    <row r="373" spans="1:7" ht="15" customHeight="1">
      <c r="A373" s="557" t="s">
        <v>342</v>
      </c>
      <c r="B373" s="374"/>
      <c r="C373" s="555">
        <v>238</v>
      </c>
      <c r="D373" s="555">
        <v>64</v>
      </c>
      <c r="E373" s="555">
        <v>0</v>
      </c>
      <c r="F373" s="552" t="str">
        <f>DEC2HEX(BITWISE_AND(((C373 * 249) + 1014), HEX2DEC("F800"))+BITWISE_AND(INT(((D373 * 253) + 505) / 32), HEX2DEC("07E0"))+INT(((E373 * 249) + 1014) / 2048),4)</f>
        <v>EA00</v>
      </c>
      <c r="G373" t="str">
        <f>"Const Color_" &amp; A373 &amp; " = &amp;H" &amp; F373</f>
        <v>Const Color_orangered2 = &amp;HEA00</v>
      </c>
    </row>
    <row r="374" spans="1:7" ht="15" customHeight="1">
      <c r="A374" s="557" t="s">
        <v>343</v>
      </c>
      <c r="B374" s="375"/>
      <c r="C374" s="555">
        <v>205</v>
      </c>
      <c r="D374" s="555">
        <v>55</v>
      </c>
      <c r="E374" s="555">
        <v>0</v>
      </c>
      <c r="F374" s="552" t="str">
        <f>DEC2HEX(BITWISE_AND(((C374 * 249) + 1014), HEX2DEC("F800"))+BITWISE_AND(INT(((D374 * 253) + 505) / 32), HEX2DEC("07E0"))+INT(((E374 * 249) + 1014) / 2048),4)</f>
        <v>C9C0</v>
      </c>
      <c r="G374" t="str">
        <f>"Const Color_" &amp; A374 &amp; " = &amp;H" &amp; F374</f>
        <v>Const Color_orangered3 = &amp;HC9C0</v>
      </c>
    </row>
    <row r="375" spans="1:7" ht="15" customHeight="1">
      <c r="A375" s="557" t="s">
        <v>344</v>
      </c>
      <c r="B375" s="376"/>
      <c r="C375" s="555">
        <v>139</v>
      </c>
      <c r="D375" s="555">
        <v>37</v>
      </c>
      <c r="E375" s="555">
        <v>0</v>
      </c>
      <c r="F375" s="552" t="str">
        <f>DEC2HEX(BITWISE_AND(((C375 * 249) + 1014), HEX2DEC("F800"))+BITWISE_AND(INT(((D375 * 253) + 505) / 32), HEX2DEC("07E0"))+INT(((E375 * 249) + 1014) / 2048),4)</f>
        <v>8920</v>
      </c>
      <c r="G375" t="str">
        <f>"Const Color_" &amp; A375 &amp; " = &amp;H" &amp; F375</f>
        <v>Const Color_orangered4 = &amp;H8920</v>
      </c>
    </row>
    <row r="376" spans="1:7" ht="15" customHeight="1">
      <c r="A376" s="557" t="s">
        <v>100</v>
      </c>
      <c r="B376" s="377"/>
      <c r="C376" s="555">
        <v>94</v>
      </c>
      <c r="D376" s="555">
        <v>38</v>
      </c>
      <c r="E376" s="555">
        <v>18</v>
      </c>
      <c r="F376" s="552" t="str">
        <f>DEC2HEX(BITWISE_AND(((C376 * 249) + 1014), HEX2DEC("F800"))+BITWISE_AND(INT(((D376 * 253) + 505) / 32), HEX2DEC("07E0"))+INT(((E376 * 249) + 1014) / 2048),4)</f>
        <v>5922</v>
      </c>
      <c r="G376" t="str">
        <f>"Const Color_" &amp; A376 &amp; " = &amp;H" &amp; F376</f>
        <v>Const Color_sepia = &amp;H5922</v>
      </c>
    </row>
    <row r="377" spans="1:7" ht="15" customHeight="1">
      <c r="A377" s="557" t="s">
        <v>101</v>
      </c>
      <c r="B377" s="378"/>
      <c r="C377" s="555">
        <v>233</v>
      </c>
      <c r="D377" s="555">
        <v>150</v>
      </c>
      <c r="E377" s="555">
        <v>122</v>
      </c>
      <c r="F377" s="552" t="str">
        <f>DEC2HEX(BITWISE_AND(((C377 * 249) + 1014), HEX2DEC("F800"))+BITWISE_AND(INT(((D377 * 253) + 505) / 32), HEX2DEC("07E0"))+INT(((E377 * 249) + 1014) / 2048),4)</f>
        <v>E4AF</v>
      </c>
      <c r="G377" t="str">
        <f>"Const Color_" &amp; A377 &amp; " = &amp;H" &amp; F377</f>
        <v>Const Color_darksalmon = &amp;HE4AF</v>
      </c>
    </row>
    <row r="378" spans="1:7" ht="15" customHeight="1">
      <c r="A378" s="557" t="s">
        <v>345</v>
      </c>
      <c r="B378" s="379"/>
      <c r="C378" s="555">
        <v>255</v>
      </c>
      <c r="D378" s="555">
        <v>140</v>
      </c>
      <c r="E378" s="555">
        <v>105</v>
      </c>
      <c r="F378" s="552" t="str">
        <f>DEC2HEX(BITWISE_AND(((C378 * 249) + 1014), HEX2DEC("F800"))+BITWISE_AND(INT(((D378 * 253) + 505) / 32), HEX2DEC("07E0"))+INT(((E378 * 249) + 1014) / 2048),4)</f>
        <v>FC6D</v>
      </c>
      <c r="G378" t="str">
        <f>"Const Color_" &amp; A378 &amp; " = &amp;H" &amp; F378</f>
        <v>Const Color_salmon1 = &amp;HFC6D</v>
      </c>
    </row>
    <row r="379" spans="1:7" ht="15" customHeight="1">
      <c r="A379" s="557" t="s">
        <v>346</v>
      </c>
      <c r="B379" s="380"/>
      <c r="C379" s="555">
        <v>238</v>
      </c>
      <c r="D379" s="555">
        <v>130</v>
      </c>
      <c r="E379" s="555">
        <v>98</v>
      </c>
      <c r="F379" s="552" t="str">
        <f>DEC2HEX(BITWISE_AND(((C379 * 249) + 1014), HEX2DEC("F800"))+BITWISE_AND(INT(((D379 * 253) + 505) / 32), HEX2DEC("07E0"))+INT(((E379 * 249) + 1014) / 2048),4)</f>
        <v>EC0C</v>
      </c>
      <c r="G379" t="str">
        <f>"Const Color_" &amp; A379 &amp; " = &amp;H" &amp; F379</f>
        <v>Const Color_salmon2 = &amp;HEC0C</v>
      </c>
    </row>
    <row r="380" spans="1:7" ht="15" customHeight="1">
      <c r="A380" s="557" t="s">
        <v>347</v>
      </c>
      <c r="B380" s="381"/>
      <c r="C380" s="555">
        <v>205</v>
      </c>
      <c r="D380" s="555">
        <v>112</v>
      </c>
      <c r="E380" s="555">
        <v>84</v>
      </c>
      <c r="F380" s="552" t="str">
        <f>DEC2HEX(BITWISE_AND(((C380 * 249) + 1014), HEX2DEC("F800"))+BITWISE_AND(INT(((D380 * 253) + 505) / 32), HEX2DEC("07E0"))+INT(((E380 * 249) + 1014) / 2048),4)</f>
        <v>CB8A</v>
      </c>
      <c r="G380" t="str">
        <f>"Const Color_" &amp; A380 &amp; " = &amp;H" &amp; F380</f>
        <v>Const Color_salmon3 = &amp;HCB8A</v>
      </c>
    </row>
    <row r="381" spans="1:7" ht="15" customHeight="1">
      <c r="A381" s="557" t="s">
        <v>348</v>
      </c>
      <c r="B381" s="382"/>
      <c r="C381" s="555">
        <v>139</v>
      </c>
      <c r="D381" s="555">
        <v>76</v>
      </c>
      <c r="E381" s="555">
        <v>57</v>
      </c>
      <c r="F381" s="552" t="str">
        <f>DEC2HEX(BITWISE_AND(((C381 * 249) + 1014), HEX2DEC("F800"))+BITWISE_AND(INT(((D381 * 253) + 505) / 32), HEX2DEC("07E0"))+INT(((E381 * 249) + 1014) / 2048),4)</f>
        <v>8A67</v>
      </c>
      <c r="G381" t="str">
        <f>"Const Color_" &amp; A381 &amp; " = &amp;H" &amp; F381</f>
        <v>Const Color_salmon4 = &amp;H8A67</v>
      </c>
    </row>
    <row r="382" spans="1:7" ht="15" customHeight="1">
      <c r="A382" s="557" t="s">
        <v>349</v>
      </c>
      <c r="B382" s="383"/>
      <c r="C382" s="555">
        <v>255</v>
      </c>
      <c r="D382" s="555">
        <v>114</v>
      </c>
      <c r="E382" s="555">
        <v>86</v>
      </c>
      <c r="F382" s="552" t="str">
        <f>DEC2HEX(BITWISE_AND(((C382 * 249) + 1014), HEX2DEC("F800"))+BITWISE_AND(INT(((D382 * 253) + 505) / 32), HEX2DEC("07E0"))+INT(((E382 * 249) + 1014) / 2048),4)</f>
        <v>FB8A</v>
      </c>
      <c r="G382" t="str">
        <f>"Const Color_" &amp; A382 &amp; " = &amp;H" &amp; F382</f>
        <v>Const Color_coral1 = &amp;HFB8A</v>
      </c>
    </row>
    <row r="383" spans="1:7" ht="15" customHeight="1">
      <c r="A383" s="557" t="s">
        <v>350</v>
      </c>
      <c r="B383" s="384"/>
      <c r="C383" s="555">
        <v>238</v>
      </c>
      <c r="D383" s="555">
        <v>106</v>
      </c>
      <c r="E383" s="555">
        <v>80</v>
      </c>
      <c r="F383" s="552" t="str">
        <f>DEC2HEX(BITWISE_AND(((C383 * 249) + 1014), HEX2DEC("F800"))+BITWISE_AND(INT(((D383 * 253) + 505) / 32), HEX2DEC("07E0"))+INT(((E383 * 249) + 1014) / 2048),4)</f>
        <v>EB4A</v>
      </c>
      <c r="G383" t="str">
        <f>"Const Color_" &amp; A383 &amp; " = &amp;H" &amp; F383</f>
        <v>Const Color_coral2 = &amp;HEB4A</v>
      </c>
    </row>
    <row r="384" spans="1:7" ht="15" customHeight="1">
      <c r="A384" s="557" t="s">
        <v>351</v>
      </c>
      <c r="B384" s="385"/>
      <c r="C384" s="555">
        <v>205</v>
      </c>
      <c r="D384" s="555">
        <v>91</v>
      </c>
      <c r="E384" s="555">
        <v>69</v>
      </c>
      <c r="F384" s="552" t="str">
        <f>DEC2HEX(BITWISE_AND(((C384 * 249) + 1014), HEX2DEC("F800"))+BITWISE_AND(INT(((D384 * 253) + 505) / 32), HEX2DEC("07E0"))+INT(((E384 * 249) + 1014) / 2048),4)</f>
        <v>CAC8</v>
      </c>
      <c r="G384" t="str">
        <f>"Const Color_" &amp; A384 &amp; " = &amp;H" &amp; F384</f>
        <v>Const Color_coral3 = &amp;HCAC8</v>
      </c>
    </row>
    <row r="385" spans="1:7" ht="15" customHeight="1">
      <c r="A385" s="557" t="s">
        <v>352</v>
      </c>
      <c r="B385" s="386"/>
      <c r="C385" s="555">
        <v>139</v>
      </c>
      <c r="D385" s="555">
        <v>62</v>
      </c>
      <c r="E385" s="555">
        <v>47</v>
      </c>
      <c r="F385" s="552" t="str">
        <f>DEC2HEX(BITWISE_AND(((C385 * 249) + 1014), HEX2DEC("F800"))+BITWISE_AND(INT(((D385 * 253) + 505) / 32), HEX2DEC("07E0"))+INT(((E385 * 249) + 1014) / 2048),4)</f>
        <v>89E6</v>
      </c>
      <c r="G385" t="str">
        <f>"Const Color_" &amp; A385 &amp; " = &amp;H" &amp; F385</f>
        <v>Const Color_coral4 = &amp;H89E6</v>
      </c>
    </row>
    <row r="386" spans="1:7" ht="15" customHeight="1">
      <c r="A386" s="557" t="s">
        <v>102</v>
      </c>
      <c r="B386" s="387"/>
      <c r="C386" s="555">
        <v>138</v>
      </c>
      <c r="D386" s="555">
        <v>51</v>
      </c>
      <c r="E386" s="555">
        <v>36</v>
      </c>
      <c r="F386" s="552" t="str">
        <f>DEC2HEX(BITWISE_AND(((C386 * 249) + 1014), HEX2DEC("F800"))+BITWISE_AND(INT(((D386 * 253) + 505) / 32), HEX2DEC("07E0"))+INT(((E386 * 249) + 1014) / 2048),4)</f>
        <v>89A4</v>
      </c>
      <c r="G386" t="str">
        <f>"Const Color_" &amp; A386 &amp; " = &amp;H" &amp; F386</f>
        <v>Const Color_burntumber = &amp;H89A4</v>
      </c>
    </row>
    <row r="387" spans="1:7" ht="15" customHeight="1">
      <c r="A387" s="557" t="s">
        <v>537</v>
      </c>
      <c r="B387" s="388"/>
      <c r="C387" s="555">
        <v>255</v>
      </c>
      <c r="D387" s="555">
        <v>99</v>
      </c>
      <c r="E387" s="555">
        <v>71</v>
      </c>
      <c r="F387" s="552" t="str">
        <f>DEC2HEX(BITWISE_AND(((C387 * 249) + 1014), HEX2DEC("F800"))+BITWISE_AND(INT(((D387 * 253) + 505) / 32), HEX2DEC("07E0"))+INT(((E387 * 249) + 1014) / 2048),4)</f>
        <v>FB09</v>
      </c>
      <c r="G387" t="str">
        <f>"Const Color_" &amp; A387 &amp; " = &amp;H" &amp; F387</f>
        <v>Const Color_tomato = &amp;HFB09</v>
      </c>
    </row>
    <row r="388" spans="1:7" ht="15" customHeight="1">
      <c r="A388" s="557" t="s">
        <v>353</v>
      </c>
      <c r="B388" s="389"/>
      <c r="C388" s="555">
        <v>238</v>
      </c>
      <c r="D388" s="555">
        <v>92</v>
      </c>
      <c r="E388" s="555">
        <v>66</v>
      </c>
      <c r="F388" s="552" t="str">
        <f>DEC2HEX(BITWISE_AND(((C388 * 249) + 1014), HEX2DEC("F800"))+BITWISE_AND(INT(((D388 * 253) + 505) / 32), HEX2DEC("07E0"))+INT(((E388 * 249) + 1014) / 2048),4)</f>
        <v>EAE8</v>
      </c>
      <c r="G388" t="str">
        <f>"Const Color_" &amp; A388 &amp; " = &amp;H" &amp; F388</f>
        <v>Const Color_tomato2 = &amp;HEAE8</v>
      </c>
    </row>
    <row r="389" spans="1:7" ht="15" customHeight="1">
      <c r="A389" s="557" t="s">
        <v>354</v>
      </c>
      <c r="B389" s="390"/>
      <c r="C389" s="555">
        <v>205</v>
      </c>
      <c r="D389" s="555">
        <v>79</v>
      </c>
      <c r="E389" s="555">
        <v>57</v>
      </c>
      <c r="F389" s="552" t="str">
        <f>DEC2HEX(BITWISE_AND(((C389 * 249) + 1014), HEX2DEC("F800"))+BITWISE_AND(INT(((D389 * 253) + 505) / 32), HEX2DEC("07E0"))+INT(((E389 * 249) + 1014) / 2048),4)</f>
        <v>CA87</v>
      </c>
      <c r="G389" t="str">
        <f>"Const Color_" &amp; A389 &amp; " = &amp;H" &amp; F389</f>
        <v>Const Color_tomato3 = &amp;HCA87</v>
      </c>
    </row>
    <row r="390" spans="1:7" ht="15" customHeight="1">
      <c r="A390" s="557" t="s">
        <v>355</v>
      </c>
      <c r="B390" s="391"/>
      <c r="C390" s="555">
        <v>139</v>
      </c>
      <c r="D390" s="555">
        <v>54</v>
      </c>
      <c r="E390" s="555">
        <v>38</v>
      </c>
      <c r="F390" s="552" t="str">
        <f>DEC2HEX(BITWISE_AND(((C390 * 249) + 1014), HEX2DEC("F800"))+BITWISE_AND(INT(((D390 * 253) + 505) / 32), HEX2DEC("07E0"))+INT(((E390 * 249) + 1014) / 2048),4)</f>
        <v>89A5</v>
      </c>
      <c r="G390" t="str">
        <f>"Const Color_" &amp; A390 &amp; " = &amp;H" &amp; F390</f>
        <v>Const Color_tomato4 = &amp;H89A5</v>
      </c>
    </row>
    <row r="391" spans="1:7" ht="15" customHeight="1">
      <c r="A391" s="557" t="s">
        <v>103</v>
      </c>
      <c r="B391" s="392"/>
      <c r="C391" s="555">
        <v>250</v>
      </c>
      <c r="D391" s="555">
        <v>128</v>
      </c>
      <c r="E391" s="555">
        <v>114</v>
      </c>
      <c r="F391" s="552" t="str">
        <f>DEC2HEX(BITWISE_AND(((C391 * 249) + 1014), HEX2DEC("F800"))+BITWISE_AND(INT(((D391 * 253) + 505) / 32), HEX2DEC("07E0"))+INT(((E391 * 249) + 1014) / 2048),4)</f>
        <v>F40E</v>
      </c>
      <c r="G391" t="str">
        <f>"Const Color_" &amp; A391 &amp; " = &amp;H" &amp; F391</f>
        <v>Const Color_salmon = &amp;HF40E</v>
      </c>
    </row>
    <row r="392" spans="1:7" ht="15" customHeight="1">
      <c r="A392" s="557" t="s">
        <v>538</v>
      </c>
      <c r="B392" s="393"/>
      <c r="C392" s="555">
        <v>255</v>
      </c>
      <c r="D392" s="555">
        <v>228</v>
      </c>
      <c r="E392" s="555">
        <v>225</v>
      </c>
      <c r="F392" s="552" t="str">
        <f>DEC2HEX(BITWISE_AND(((C392 * 249) + 1014), HEX2DEC("F800"))+BITWISE_AND(INT(((D392 * 253) + 505) / 32), HEX2DEC("07E0"))+INT(((E392 * 249) + 1014) / 2048),4)</f>
        <v>FF1B</v>
      </c>
      <c r="G392" t="str">
        <f>"Const Color_" &amp; A392 &amp; " = &amp;H" &amp; F392</f>
        <v>Const Color_mistyrose = &amp;HFF1B</v>
      </c>
    </row>
    <row r="393" spans="1:7" ht="15" customHeight="1">
      <c r="A393" s="557" t="s">
        <v>356</v>
      </c>
      <c r="B393" s="394"/>
      <c r="C393" s="555">
        <v>238</v>
      </c>
      <c r="D393" s="555">
        <v>213</v>
      </c>
      <c r="E393" s="555">
        <v>210</v>
      </c>
      <c r="F393" s="552" t="str">
        <f>DEC2HEX(BITWISE_AND(((C393 * 249) + 1014), HEX2DEC("F800"))+BITWISE_AND(INT(((D393 * 253) + 505) / 32), HEX2DEC("07E0"))+INT(((E393 * 249) + 1014) / 2048),4)</f>
        <v>EEBA</v>
      </c>
      <c r="G393" t="str">
        <f>"Const Color_" &amp; A393 &amp; " = &amp;H" &amp; F393</f>
        <v>Const Color_mistyrose2 = &amp;HEEBA</v>
      </c>
    </row>
    <row r="394" spans="1:7" ht="15" customHeight="1">
      <c r="A394" s="557" t="s">
        <v>357</v>
      </c>
      <c r="B394" s="395"/>
      <c r="C394" s="555">
        <v>205</v>
      </c>
      <c r="D394" s="555">
        <v>183</v>
      </c>
      <c r="E394" s="555">
        <v>181</v>
      </c>
      <c r="F394" s="552" t="str">
        <f>DEC2HEX(BITWISE_AND(((C394 * 249) + 1014), HEX2DEC("F800"))+BITWISE_AND(INT(((D394 * 253) + 505) / 32), HEX2DEC("07E0"))+INT(((E394 * 249) + 1014) / 2048),4)</f>
        <v>CDB6</v>
      </c>
      <c r="G394" t="str">
        <f>"Const Color_" &amp; A394 &amp; " = &amp;H" &amp; F394</f>
        <v>Const Color_mistyrose3 = &amp;HCDB6</v>
      </c>
    </row>
    <row r="395" spans="1:7" ht="15" customHeight="1">
      <c r="A395" s="557" t="s">
        <v>358</v>
      </c>
      <c r="B395" s="396"/>
      <c r="C395" s="555">
        <v>139</v>
      </c>
      <c r="D395" s="555">
        <v>125</v>
      </c>
      <c r="E395" s="555">
        <v>123</v>
      </c>
      <c r="F395" s="552" t="str">
        <f>DEC2HEX(BITWISE_AND(((C395 * 249) + 1014), HEX2DEC("F800"))+BITWISE_AND(INT(((D395 * 253) + 505) / 32), HEX2DEC("07E0"))+INT(((E395 * 249) + 1014) / 2048),4)</f>
        <v>8BEF</v>
      </c>
      <c r="G395" t="str">
        <f>"Const Color_" &amp; A395 &amp; " = &amp;H" &amp; F395</f>
        <v>Const Color_mistyrose4 = &amp;H8BEF</v>
      </c>
    </row>
    <row r="396" spans="1:7" ht="15" customHeight="1">
      <c r="A396" s="557" t="s">
        <v>539</v>
      </c>
      <c r="B396" s="397"/>
      <c r="C396" s="555">
        <v>255</v>
      </c>
      <c r="D396" s="555">
        <v>250</v>
      </c>
      <c r="E396" s="555">
        <v>250</v>
      </c>
      <c r="F396" s="552" t="str">
        <f>DEC2HEX(BITWISE_AND(((C396 * 249) + 1014), HEX2DEC("F800"))+BITWISE_AND(INT(((D396 * 253) + 505) / 32), HEX2DEC("07E0"))+INT(((E396 * 249) + 1014) / 2048),4)</f>
        <v>FFDE</v>
      </c>
      <c r="G396" t="str">
        <f>"Const Color_" &amp; A396 &amp; " = &amp;H" &amp; F396</f>
        <v>Const Color_snow = &amp;HFFDE</v>
      </c>
    </row>
    <row r="397" spans="1:7" ht="15" customHeight="1">
      <c r="A397" s="557" t="s">
        <v>359</v>
      </c>
      <c r="B397" s="398"/>
      <c r="C397" s="555">
        <v>238</v>
      </c>
      <c r="D397" s="555">
        <v>233</v>
      </c>
      <c r="E397" s="555">
        <v>233</v>
      </c>
      <c r="F397" s="552" t="str">
        <f>DEC2HEX(BITWISE_AND(((C397 * 249) + 1014), HEX2DEC("F800"))+BITWISE_AND(INT(((D397 * 253) + 505) / 32), HEX2DEC("07E0"))+INT(((E397 * 249) + 1014) / 2048),4)</f>
        <v>EF5C</v>
      </c>
      <c r="G397" t="str">
        <f>"Const Color_" &amp; A397 &amp; " = &amp;H" &amp; F397</f>
        <v>Const Color_snow2 = &amp;HEF5C</v>
      </c>
    </row>
    <row r="398" spans="1:7" ht="15" customHeight="1">
      <c r="A398" s="557" t="s">
        <v>360</v>
      </c>
      <c r="B398" s="399"/>
      <c r="C398" s="555">
        <v>205</v>
      </c>
      <c r="D398" s="555">
        <v>201</v>
      </c>
      <c r="E398" s="555">
        <v>201</v>
      </c>
      <c r="F398" s="552" t="str">
        <f>DEC2HEX(BITWISE_AND(((C398 * 249) + 1014), HEX2DEC("F800"))+BITWISE_AND(INT(((D398 * 253) + 505) / 32), HEX2DEC("07E0"))+INT(((E398 * 249) + 1014) / 2048),4)</f>
        <v>CE58</v>
      </c>
      <c r="G398" t="str">
        <f>"Const Color_" &amp; A398 &amp; " = &amp;H" &amp; F398</f>
        <v>Const Color_snow3 = &amp;HCE58</v>
      </c>
    </row>
    <row r="399" spans="1:7" ht="15" customHeight="1">
      <c r="A399" s="557" t="s">
        <v>361</v>
      </c>
      <c r="B399" s="400"/>
      <c r="C399" s="555">
        <v>139</v>
      </c>
      <c r="D399" s="555">
        <v>137</v>
      </c>
      <c r="E399" s="555">
        <v>137</v>
      </c>
      <c r="F399" s="552" t="str">
        <f>DEC2HEX(BITWISE_AND(((C399 * 249) + 1014), HEX2DEC("F800"))+BITWISE_AND(INT(((D399 * 253) + 505) / 32), HEX2DEC("07E0"))+INT(((E399 * 249) + 1014) / 2048),4)</f>
        <v>8C51</v>
      </c>
      <c r="G399" t="str">
        <f>"Const Color_" &amp; A399 &amp; " = &amp;H" &amp; F399</f>
        <v>Const Color_snow4 = &amp;H8C51</v>
      </c>
    </row>
    <row r="400" spans="1:7" ht="15" customHeight="1">
      <c r="A400" s="557" t="s">
        <v>104</v>
      </c>
      <c r="B400" s="401"/>
      <c r="C400" s="555">
        <v>188</v>
      </c>
      <c r="D400" s="555">
        <v>143</v>
      </c>
      <c r="E400" s="555">
        <v>143</v>
      </c>
      <c r="F400" s="552" t="str">
        <f>DEC2HEX(BITWISE_AND(((C400 * 249) + 1014), HEX2DEC("F800"))+BITWISE_AND(INT(((D400 * 253) + 505) / 32), HEX2DEC("07E0"))+INT(((E400 * 249) + 1014) / 2048),4)</f>
        <v>BC71</v>
      </c>
      <c r="G400" t="str">
        <f>"Const Color_" &amp; A400 &amp; " = &amp;H" &amp; F400</f>
        <v>Const Color_rosybrown = &amp;HBC71</v>
      </c>
    </row>
    <row r="401" spans="1:16" ht="15" customHeight="1">
      <c r="A401" s="557" t="s">
        <v>362</v>
      </c>
      <c r="B401" s="402"/>
      <c r="C401" s="555">
        <v>255</v>
      </c>
      <c r="D401" s="555">
        <v>193</v>
      </c>
      <c r="E401" s="555">
        <v>193</v>
      </c>
      <c r="F401" s="552" t="str">
        <f>DEC2HEX(BITWISE_AND(((C401 * 249) + 1014), HEX2DEC("F800"))+BITWISE_AND(INT(((D401 * 253) + 505) / 32), HEX2DEC("07E0"))+INT(((E401 * 249) + 1014) / 2048),4)</f>
        <v>FE17</v>
      </c>
      <c r="G401" t="str">
        <f>"Const Color_" &amp; A401 &amp; " = &amp;H" &amp; F401</f>
        <v>Const Color_rosybrown1 = &amp;HFE17</v>
      </c>
    </row>
    <row r="402" spans="1:16" ht="15" customHeight="1">
      <c r="A402" s="557" t="s">
        <v>363</v>
      </c>
      <c r="B402" s="403"/>
      <c r="C402" s="555">
        <v>238</v>
      </c>
      <c r="D402" s="555">
        <v>180</v>
      </c>
      <c r="E402" s="555">
        <v>180</v>
      </c>
      <c r="F402" s="552" t="str">
        <f>DEC2HEX(BITWISE_AND(((C402 * 249) + 1014), HEX2DEC("F800"))+BITWISE_AND(INT(((D402 * 253) + 505) / 32), HEX2DEC("07E0"))+INT(((E402 * 249) + 1014) / 2048),4)</f>
        <v>ED96</v>
      </c>
      <c r="G402" t="str">
        <f>"Const Color_" &amp; A402 &amp; " = &amp;H" &amp; F402</f>
        <v>Const Color_rosybrown2 = &amp;HED96</v>
      </c>
    </row>
    <row r="403" spans="1:16" ht="15" customHeight="1">
      <c r="A403" s="557" t="s">
        <v>364</v>
      </c>
      <c r="B403" s="404"/>
      <c r="C403" s="555">
        <v>205</v>
      </c>
      <c r="D403" s="555">
        <v>155</v>
      </c>
      <c r="E403" s="555">
        <v>155</v>
      </c>
      <c r="F403" s="552" t="str">
        <f>DEC2HEX(BITWISE_AND(((C403 * 249) + 1014), HEX2DEC("F800"))+BITWISE_AND(INT(((D403 * 253) + 505) / 32), HEX2DEC("07E0"))+INT(((E403 * 249) + 1014) / 2048),4)</f>
        <v>CCD3</v>
      </c>
      <c r="G403" t="str">
        <f>"Const Color_" &amp; A403 &amp; " = &amp;H" &amp; F403</f>
        <v>Const Color_rosybrown3 = &amp;HCCD3</v>
      </c>
    </row>
    <row r="404" spans="1:16" ht="15" customHeight="1">
      <c r="A404" s="557" t="s">
        <v>365</v>
      </c>
      <c r="B404" s="405"/>
      <c r="C404" s="555">
        <v>139</v>
      </c>
      <c r="D404" s="555">
        <v>105</v>
      </c>
      <c r="E404" s="555">
        <v>105</v>
      </c>
      <c r="F404" s="552" t="str">
        <f>DEC2HEX(BITWISE_AND(((C404 * 249) + 1014), HEX2DEC("F800"))+BITWISE_AND(INT(((D404 * 253) + 505) / 32), HEX2DEC("07E0"))+INT(((E404 * 249) + 1014) / 2048),4)</f>
        <v>8B4D</v>
      </c>
      <c r="G404" t="str">
        <f>"Const Color_" &amp; A404 &amp; " = &amp;H" &amp; F404</f>
        <v>Const Color_rosybrown4 = &amp;H8B4D</v>
      </c>
    </row>
    <row r="405" spans="1:16" ht="15" customHeight="1">
      <c r="A405" s="557" t="s">
        <v>105</v>
      </c>
      <c r="B405" s="406"/>
      <c r="C405" s="555">
        <v>240</v>
      </c>
      <c r="D405" s="555">
        <v>128</v>
      </c>
      <c r="E405" s="555">
        <v>128</v>
      </c>
      <c r="F405" s="552" t="str">
        <f>DEC2HEX(BITWISE_AND(((C405 * 249) + 1014), HEX2DEC("F800"))+BITWISE_AND(INT(((D405 * 253) + 505) / 32), HEX2DEC("07E0"))+INT(((E405 * 249) + 1014) / 2048),4)</f>
        <v>EC10</v>
      </c>
      <c r="G405" t="str">
        <f>"Const Color_" &amp; A405 &amp; " = &amp;H" &amp; F405</f>
        <v>Const Color_lightcoral = &amp;HEC10</v>
      </c>
    </row>
    <row r="406" spans="1:16" ht="15" customHeight="1">
      <c r="A406" s="557" t="s">
        <v>106</v>
      </c>
      <c r="B406" s="407"/>
      <c r="C406" s="555">
        <v>205</v>
      </c>
      <c r="D406" s="555">
        <v>92</v>
      </c>
      <c r="E406" s="555">
        <v>92</v>
      </c>
      <c r="F406" s="552" t="str">
        <f>DEC2HEX(BITWISE_AND(((C406 * 249) + 1014), HEX2DEC("F800"))+BITWISE_AND(INT(((D406 * 253) + 505) / 32), HEX2DEC("07E0"))+INT(((E406 * 249) + 1014) / 2048),4)</f>
        <v>CAEB</v>
      </c>
      <c r="G406" t="str">
        <f>"Const Color_" &amp; A406 &amp; " = &amp;H" &amp; F406</f>
        <v>Const Color_indianred = &amp;HCAEB</v>
      </c>
    </row>
    <row r="407" spans="1:16" ht="15" customHeight="1">
      <c r="A407" s="557" t="s">
        <v>366</v>
      </c>
      <c r="B407" s="408"/>
      <c r="C407" s="555">
        <v>255</v>
      </c>
      <c r="D407" s="555">
        <v>106</v>
      </c>
      <c r="E407" s="555">
        <v>106</v>
      </c>
      <c r="F407" s="552" t="str">
        <f>DEC2HEX(BITWISE_AND(((C407 * 249) + 1014), HEX2DEC("F800"))+BITWISE_AND(INT(((D407 * 253) + 505) / 32), HEX2DEC("07E0"))+INT(((E407 * 249) + 1014) / 2048),4)</f>
        <v>FB4D</v>
      </c>
      <c r="G407" t="str">
        <f>"Const Color_" &amp; A407 &amp; " = &amp;H" &amp; F407</f>
        <v>Const Color_indianred1 = &amp;HFB4D</v>
      </c>
    </row>
    <row r="408" spans="1:16" ht="15" customHeight="1">
      <c r="A408" s="557" t="s">
        <v>367</v>
      </c>
      <c r="B408" s="409"/>
      <c r="C408" s="555">
        <v>238</v>
      </c>
      <c r="D408" s="555">
        <v>99</v>
      </c>
      <c r="E408" s="555">
        <v>99</v>
      </c>
      <c r="F408" s="552" t="str">
        <f>DEC2HEX(BITWISE_AND(((C408 * 249) + 1014), HEX2DEC("F800"))+BITWISE_AND(INT(((D408 * 253) + 505) / 32), HEX2DEC("07E0"))+INT(((E408 * 249) + 1014) / 2048),4)</f>
        <v>EB0C</v>
      </c>
      <c r="G408" t="str">
        <f>"Const Color_" &amp; A408 &amp; " = &amp;H" &amp; F408</f>
        <v>Const Color_indianred2 = &amp;HEB0C</v>
      </c>
    </row>
    <row r="409" spans="1:16" ht="15" customHeight="1">
      <c r="A409" s="557" t="s">
        <v>369</v>
      </c>
      <c r="B409" s="411"/>
      <c r="C409" s="555">
        <v>205</v>
      </c>
      <c r="D409" s="555">
        <v>85</v>
      </c>
      <c r="E409" s="555">
        <v>85</v>
      </c>
      <c r="F409" s="552" t="str">
        <f>DEC2HEX(BITWISE_AND(((C409 * 249) + 1014), HEX2DEC("F800"))+BITWISE_AND(INT(((D409 * 253) + 505) / 32), HEX2DEC("07E0"))+INT(((E409 * 249) + 1014) / 2048),4)</f>
        <v>CAAA</v>
      </c>
      <c r="G409" t="str">
        <f>"Const Color_" &amp; A409 &amp; " = &amp;H" &amp; F409</f>
        <v>Const Color_indianred3 = &amp;HCAAA</v>
      </c>
    </row>
    <row r="410" spans="1:16" ht="15" customHeight="1">
      <c r="A410" s="557" t="s">
        <v>368</v>
      </c>
      <c r="B410" s="1"/>
      <c r="C410" s="553">
        <v>176</v>
      </c>
      <c r="D410" s="555">
        <v>23</v>
      </c>
      <c r="E410" s="555">
        <v>31</v>
      </c>
      <c r="F410" s="552" t="str">
        <f>DEC2HEX(BITWISE_AND(((C410 * 249) + 1014), HEX2DEC("F800"))+BITWISE_AND(INT(((D410 * 253) + 505) / 32), HEX2DEC("07E0"))+INT(((E410 * 249) + 1014) / 2048),4)</f>
        <v>A8C4</v>
      </c>
      <c r="G410" t="str">
        <f>"Const Color_" &amp; A410 &amp; " = &amp;H" &amp; F410</f>
        <v>Const Color_indianred4 = &amp;HA8C4</v>
      </c>
    </row>
    <row r="411" spans="1:16" ht="15" customHeight="1">
      <c r="A411" s="557" t="s">
        <v>560</v>
      </c>
      <c r="B411" s="410"/>
      <c r="C411" s="555">
        <v>139</v>
      </c>
      <c r="D411" s="555">
        <v>58</v>
      </c>
      <c r="E411" s="555">
        <v>58</v>
      </c>
      <c r="F411" s="552" t="str">
        <f>DEC2HEX(BITWISE_AND(((C411 * 249) + 1014), HEX2DEC("F800"))+BITWISE_AND(INT(((D411 * 253) + 505) / 32), HEX2DEC("07E0"))+INT(((E411 * 249) + 1014) / 2048),4)</f>
        <v>89C7</v>
      </c>
      <c r="G411" t="str">
        <f>"Const Color_" &amp; A411 &amp; " = &amp;H" &amp; F411</f>
        <v>Const Color_indianred5 = &amp;H89C7</v>
      </c>
      <c r="K411" s="557"/>
      <c r="L411" s="563"/>
      <c r="M411" s="553"/>
      <c r="N411" s="555"/>
      <c r="O411" s="555"/>
      <c r="P411" s="552"/>
    </row>
    <row r="412" spans="1:16" ht="15" customHeight="1">
      <c r="A412" s="557" t="s">
        <v>107</v>
      </c>
      <c r="B412" s="412"/>
      <c r="C412" s="555">
        <v>165</v>
      </c>
      <c r="D412" s="555">
        <v>42</v>
      </c>
      <c r="E412" s="555">
        <v>42</v>
      </c>
      <c r="F412" s="552" t="str">
        <f>DEC2HEX(BITWISE_AND(((C412 * 249) + 1014), HEX2DEC("F800"))+BITWISE_AND(INT(((D412 * 253) + 505) / 32), HEX2DEC("07E0"))+INT(((E412 * 249) + 1014) / 2048),4)</f>
        <v>A145</v>
      </c>
      <c r="G412" t="str">
        <f>"Const Color_" &amp; A412 &amp; " = &amp;H" &amp; F412</f>
        <v>Const Color_brown = &amp;HA145</v>
      </c>
    </row>
    <row r="413" spans="1:16" ht="15" customHeight="1">
      <c r="A413" s="557" t="s">
        <v>370</v>
      </c>
      <c r="B413" s="413"/>
      <c r="C413" s="555">
        <v>255</v>
      </c>
      <c r="D413" s="555">
        <v>64</v>
      </c>
      <c r="E413" s="555">
        <v>64</v>
      </c>
      <c r="F413" s="552" t="str">
        <f>DEC2HEX(BITWISE_AND(((C413 * 249) + 1014), HEX2DEC("F800"))+BITWISE_AND(INT(((D413 * 253) + 505) / 32), HEX2DEC("07E0"))+INT(((E413 * 249) + 1014) / 2048),4)</f>
        <v>FA08</v>
      </c>
      <c r="G413" t="str">
        <f>"Const Color_" &amp; A413 &amp; " = &amp;H" &amp; F413</f>
        <v>Const Color_brown1 = &amp;HFA08</v>
      </c>
    </row>
    <row r="414" spans="1:16" ht="15" customHeight="1">
      <c r="A414" s="557" t="s">
        <v>371</v>
      </c>
      <c r="B414" s="414"/>
      <c r="C414" s="555">
        <v>238</v>
      </c>
      <c r="D414" s="555">
        <v>59</v>
      </c>
      <c r="E414" s="555">
        <v>59</v>
      </c>
      <c r="F414" s="552" t="str">
        <f>DEC2HEX(BITWISE_AND(((C414 * 249) + 1014), HEX2DEC("F800"))+BITWISE_AND(INT(((D414 * 253) + 505) / 32), HEX2DEC("07E0"))+INT(((E414 * 249) + 1014) / 2048),4)</f>
        <v>E9E7</v>
      </c>
      <c r="G414" t="str">
        <f>"Const Color_" &amp; A414 &amp; " = &amp;H" &amp; F414</f>
        <v>Const Color_brown2 = &amp;HE9E7</v>
      </c>
    </row>
    <row r="415" spans="1:16" ht="15" customHeight="1">
      <c r="A415" s="557" t="s">
        <v>372</v>
      </c>
      <c r="B415" s="415"/>
      <c r="C415" s="555">
        <v>205</v>
      </c>
      <c r="D415" s="555">
        <v>51</v>
      </c>
      <c r="E415" s="555">
        <v>51</v>
      </c>
      <c r="F415" s="552" t="str">
        <f>DEC2HEX(BITWISE_AND(((C415 * 249) + 1014), HEX2DEC("F800"))+BITWISE_AND(INT(((D415 * 253) + 505) / 32), HEX2DEC("07E0"))+INT(((E415 * 249) + 1014) / 2048),4)</f>
        <v>C9A6</v>
      </c>
      <c r="G415" t="str">
        <f>"Const Color_" &amp; A415 &amp; " = &amp;H" &amp; F415</f>
        <v>Const Color_brown3 = &amp;HC9A6</v>
      </c>
    </row>
    <row r="416" spans="1:16" ht="15" customHeight="1">
      <c r="A416" s="557" t="s">
        <v>373</v>
      </c>
      <c r="B416" s="416"/>
      <c r="C416" s="555">
        <v>139</v>
      </c>
      <c r="D416" s="555">
        <v>35</v>
      </c>
      <c r="E416" s="555">
        <v>35</v>
      </c>
      <c r="F416" s="552" t="str">
        <f>DEC2HEX(BITWISE_AND(((C416 * 249) + 1014), HEX2DEC("F800"))+BITWISE_AND(INT(((D416 * 253) + 505) / 32), HEX2DEC("07E0"))+INT(((E416 * 249) + 1014) / 2048),4)</f>
        <v>8924</v>
      </c>
      <c r="G416" t="str">
        <f>"Const Color_" &amp; A416 &amp; " = &amp;H" &amp; F416</f>
        <v>Const Color_brown4 = &amp;H8924</v>
      </c>
    </row>
    <row r="417" spans="1:7" ht="15" customHeight="1">
      <c r="A417" s="557" t="s">
        <v>108</v>
      </c>
      <c r="B417" s="417"/>
      <c r="C417" s="555">
        <v>178</v>
      </c>
      <c r="D417" s="555">
        <v>34</v>
      </c>
      <c r="E417" s="555">
        <v>34</v>
      </c>
      <c r="F417" s="552" t="str">
        <f>DEC2HEX(BITWISE_AND(((C417 * 249) + 1014), HEX2DEC("F800"))+BITWISE_AND(INT(((D417 * 253) + 505) / 32), HEX2DEC("07E0"))+INT(((E417 * 249) + 1014) / 2048),4)</f>
        <v>B104</v>
      </c>
      <c r="G417" t="str">
        <f>"Const Color_" &amp; A417 &amp; " = &amp;H" &amp; F417</f>
        <v>Const Color_firebrick = &amp;HB104</v>
      </c>
    </row>
    <row r="418" spans="1:7" ht="15" customHeight="1">
      <c r="A418" s="557" t="s">
        <v>374</v>
      </c>
      <c r="B418" s="418"/>
      <c r="C418" s="555">
        <v>255</v>
      </c>
      <c r="D418" s="555">
        <v>48</v>
      </c>
      <c r="E418" s="555">
        <v>48</v>
      </c>
      <c r="F418" s="552" t="str">
        <f>DEC2HEX(BITWISE_AND(((C418 * 249) + 1014), HEX2DEC("F800"))+BITWISE_AND(INT(((D418 * 253) + 505) / 32), HEX2DEC("07E0"))+INT(((E418 * 249) + 1014) / 2048),4)</f>
        <v>F986</v>
      </c>
      <c r="G418" t="str">
        <f>"Const Color_" &amp; A418 &amp; " = &amp;H" &amp; F418</f>
        <v>Const Color_firebrick1 = &amp;HF986</v>
      </c>
    </row>
    <row r="419" spans="1:7" ht="15" customHeight="1">
      <c r="A419" s="557" t="s">
        <v>375</v>
      </c>
      <c r="B419" s="419"/>
      <c r="C419" s="555">
        <v>238</v>
      </c>
      <c r="D419" s="555">
        <v>44</v>
      </c>
      <c r="E419" s="555">
        <v>44</v>
      </c>
      <c r="F419" s="552" t="str">
        <f>DEC2HEX(BITWISE_AND(((C419 * 249) + 1014), HEX2DEC("F800"))+BITWISE_AND(INT(((D419 * 253) + 505) / 32), HEX2DEC("07E0"))+INT(((E419 * 249) + 1014) / 2048),4)</f>
        <v>E965</v>
      </c>
      <c r="G419" t="str">
        <f>"Const Color_" &amp; A419 &amp; " = &amp;H" &amp; F419</f>
        <v>Const Color_firebrick2 = &amp;HE965</v>
      </c>
    </row>
    <row r="420" spans="1:7" ht="15" customHeight="1">
      <c r="A420" s="557" t="s">
        <v>376</v>
      </c>
      <c r="B420" s="420"/>
      <c r="C420" s="555">
        <v>205</v>
      </c>
      <c r="D420" s="555">
        <v>38</v>
      </c>
      <c r="E420" s="555">
        <v>38</v>
      </c>
      <c r="F420" s="552" t="str">
        <f>DEC2HEX(BITWISE_AND(((C420 * 249) + 1014), HEX2DEC("F800"))+BITWISE_AND(INT(((D420 * 253) + 505) / 32), HEX2DEC("07E0"))+INT(((E420 * 249) + 1014) / 2048),4)</f>
        <v>C925</v>
      </c>
      <c r="G420" t="str">
        <f>"Const Color_" &amp; A420 &amp; " = &amp;H" &amp; F420</f>
        <v>Const Color_firebrick3 = &amp;HC925</v>
      </c>
    </row>
    <row r="421" spans="1:7" ht="15" customHeight="1">
      <c r="A421" s="557" t="s">
        <v>377</v>
      </c>
      <c r="B421" s="421"/>
      <c r="C421" s="555">
        <v>139</v>
      </c>
      <c r="D421" s="555">
        <v>26</v>
      </c>
      <c r="E421" s="555">
        <v>26</v>
      </c>
      <c r="F421" s="552" t="str">
        <f>DEC2HEX(BITWISE_AND(((C421 * 249) + 1014), HEX2DEC("F800"))+BITWISE_AND(INT(((D421 * 253) + 505) / 32), HEX2DEC("07E0"))+INT(((E421 * 249) + 1014) / 2048),4)</f>
        <v>88C3</v>
      </c>
      <c r="G421" t="str">
        <f>"Const Color_" &amp; A421 &amp; " = &amp;H" &amp; F421</f>
        <v>Const Color_firebrick4 = &amp;H88C3</v>
      </c>
    </row>
    <row r="422" spans="1:7" ht="15" customHeight="1">
      <c r="A422" s="557" t="s">
        <v>540</v>
      </c>
      <c r="B422" s="422"/>
      <c r="C422" s="555">
        <v>255</v>
      </c>
      <c r="D422" s="555">
        <v>0</v>
      </c>
      <c r="E422" s="555">
        <v>0</v>
      </c>
      <c r="F422" s="552" t="str">
        <f>DEC2HEX(BITWISE_AND(((C422 * 249) + 1014), HEX2DEC("F800"))+BITWISE_AND(INT(((D422 * 253) + 505) / 32), HEX2DEC("07E0"))+INT(((E422 * 249) + 1014) / 2048),4)</f>
        <v>F800</v>
      </c>
      <c r="G422" t="str">
        <f>"Const Color_" &amp; A422 &amp; " = &amp;H" &amp; F422</f>
        <v>Const Color_red = &amp;HF800</v>
      </c>
    </row>
    <row r="423" spans="1:7" ht="15" customHeight="1">
      <c r="A423" s="557" t="s">
        <v>378</v>
      </c>
      <c r="B423" s="423"/>
      <c r="C423" s="555">
        <v>238</v>
      </c>
      <c r="D423" s="555">
        <v>0</v>
      </c>
      <c r="E423" s="555">
        <v>0</v>
      </c>
      <c r="F423" s="552" t="str">
        <f>DEC2HEX(BITWISE_AND(((C423 * 249) + 1014), HEX2DEC("F800"))+BITWISE_AND(INT(((D423 * 253) + 505) / 32), HEX2DEC("07E0"))+INT(((E423 * 249) + 1014) / 2048),4)</f>
        <v>E800</v>
      </c>
      <c r="G423" t="str">
        <f>"Const Color_" &amp; A423 &amp; " = &amp;H" &amp; F423</f>
        <v>Const Color_red2 = &amp;HE800</v>
      </c>
    </row>
    <row r="424" spans="1:7" ht="15" customHeight="1">
      <c r="A424" s="557" t="s">
        <v>379</v>
      </c>
      <c r="B424" s="424"/>
      <c r="C424" s="555">
        <v>205</v>
      </c>
      <c r="D424" s="555">
        <v>0</v>
      </c>
      <c r="E424" s="555">
        <v>0</v>
      </c>
      <c r="F424" s="552" t="str">
        <f>DEC2HEX(BITWISE_AND(((C424 * 249) + 1014), HEX2DEC("F800"))+BITWISE_AND(INT(((D424 * 253) + 505) / 32), HEX2DEC("07E0"))+INT(((E424 * 249) + 1014) / 2048),4)</f>
        <v>C800</v>
      </c>
      <c r="G424" t="str">
        <f>"Const Color_" &amp; A424 &amp; " = &amp;H" &amp; F424</f>
        <v>Const Color_red3 = &amp;HC800</v>
      </c>
    </row>
    <row r="425" spans="1:7" ht="15" customHeight="1">
      <c r="A425" s="557" t="s">
        <v>541</v>
      </c>
      <c r="B425" s="425"/>
      <c r="C425" s="555">
        <v>139</v>
      </c>
      <c r="D425" s="555">
        <v>0</v>
      </c>
      <c r="E425" s="555">
        <v>0</v>
      </c>
      <c r="F425" s="552" t="str">
        <f>DEC2HEX(BITWISE_AND(((C425 * 249) + 1014), HEX2DEC("F800"))+BITWISE_AND(INT(((D425 * 253) + 505) / 32), HEX2DEC("07E0"))+INT(((E425 * 249) + 1014) / 2048),4)</f>
        <v>8800</v>
      </c>
      <c r="G425" t="str">
        <f>"Const Color_" &amp; A425 &amp; " = &amp;H" &amp; F425</f>
        <v>Const Color_darkred = &amp;H8800</v>
      </c>
    </row>
    <row r="426" spans="1:7" ht="15" customHeight="1">
      <c r="A426" s="557" t="s">
        <v>542</v>
      </c>
      <c r="B426" s="426"/>
      <c r="C426" s="555">
        <v>128</v>
      </c>
      <c r="D426" s="555">
        <v>0</v>
      </c>
      <c r="E426" s="555">
        <v>0</v>
      </c>
      <c r="F426" s="552" t="str">
        <f>DEC2HEX(BITWISE_AND(((C426 * 249) + 1014), HEX2DEC("F800"))+BITWISE_AND(INT(((D426 * 253) + 505) / 32), HEX2DEC("07E0"))+INT(((E426 * 249) + 1014) / 2048),4)</f>
        <v>8000</v>
      </c>
      <c r="G426" t="str">
        <f>"Const Color_" &amp; A426 &amp; " = &amp;H" &amp; F426</f>
        <v>Const Color_maroon = &amp;H8000</v>
      </c>
    </row>
    <row r="427" spans="1:7" ht="15" customHeight="1">
      <c r="A427" s="557" t="s">
        <v>380</v>
      </c>
      <c r="B427" s="427"/>
      <c r="C427" s="555">
        <v>142</v>
      </c>
      <c r="D427" s="555">
        <v>56</v>
      </c>
      <c r="E427" s="555">
        <v>142</v>
      </c>
      <c r="F427" s="552" t="str">
        <f>DEC2HEX(BITWISE_AND(((C427 * 249) + 1014), HEX2DEC("F800"))+BITWISE_AND(INT(((D427 * 253) + 505) / 32), HEX2DEC("07E0"))+INT(((E427 * 249) + 1014) / 2048),4)</f>
        <v>89D1</v>
      </c>
      <c r="G427" t="str">
        <f>"Const Color_" &amp; A427 &amp; " = &amp;H" &amp; F427</f>
        <v>Const Color_sgibeet = &amp;H89D1</v>
      </c>
    </row>
    <row r="428" spans="1:7" ht="15" customHeight="1">
      <c r="A428" s="557" t="s">
        <v>381</v>
      </c>
      <c r="B428" s="428"/>
      <c r="C428" s="555">
        <v>113</v>
      </c>
      <c r="D428" s="555">
        <v>113</v>
      </c>
      <c r="E428" s="555">
        <v>198</v>
      </c>
      <c r="F428" s="552" t="str">
        <f>DEC2HEX(BITWISE_AND(((C428 * 249) + 1014), HEX2DEC("F800"))+BITWISE_AND(INT(((D428 * 253) + 505) / 32), HEX2DEC("07E0"))+INT(((E428 * 249) + 1014) / 2048),4)</f>
        <v>7398</v>
      </c>
      <c r="G428" t="str">
        <f>"Const Color_" &amp; A428 &amp; " = &amp;H" &amp; F428</f>
        <v>Const Color_sgislateblue = &amp;H7398</v>
      </c>
    </row>
    <row r="429" spans="1:7" ht="15" customHeight="1">
      <c r="A429" s="557" t="s">
        <v>382</v>
      </c>
      <c r="B429" s="429"/>
      <c r="C429" s="555">
        <v>125</v>
      </c>
      <c r="D429" s="555">
        <v>158</v>
      </c>
      <c r="E429" s="555">
        <v>192</v>
      </c>
      <c r="F429" s="552" t="str">
        <f>DEC2HEX(BITWISE_AND(((C429 * 249) + 1014), HEX2DEC("F800"))+BITWISE_AND(INT(((D429 * 253) + 505) / 32), HEX2DEC("07E0"))+INT(((E429 * 249) + 1014) / 2048),4)</f>
        <v>7CF7</v>
      </c>
      <c r="G429" t="str">
        <f>"Const Color_" &amp; A429 &amp; " = &amp;H" &amp; F429</f>
        <v>Const Color_sgilightblue = &amp;H7CF7</v>
      </c>
    </row>
    <row r="430" spans="1:7" ht="15" customHeight="1">
      <c r="A430" s="557" t="s">
        <v>383</v>
      </c>
      <c r="B430" s="430"/>
      <c r="C430" s="555">
        <v>56</v>
      </c>
      <c r="D430" s="555">
        <v>142</v>
      </c>
      <c r="E430" s="555">
        <v>142</v>
      </c>
      <c r="F430" s="552" t="str">
        <f>DEC2HEX(BITWISE_AND(((C430 * 249) + 1014), HEX2DEC("F800"))+BITWISE_AND(INT(((D430 * 253) + 505) / 32), HEX2DEC("07E0"))+INT(((E430 * 249) + 1014) / 2048),4)</f>
        <v>3C71</v>
      </c>
      <c r="G430" t="str">
        <f>"Const Color_" &amp; A430 &amp; " = &amp;H" &amp; F430</f>
        <v>Const Color_sgiteal = &amp;H3C71</v>
      </c>
    </row>
    <row r="431" spans="1:7" ht="15" customHeight="1">
      <c r="A431" s="557" t="s">
        <v>384</v>
      </c>
      <c r="B431" s="431"/>
      <c r="C431" s="555">
        <v>113</v>
      </c>
      <c r="D431" s="555">
        <v>198</v>
      </c>
      <c r="E431" s="555">
        <v>113</v>
      </c>
      <c r="F431" s="552" t="str">
        <f>DEC2HEX(BITWISE_AND(((C431 * 249) + 1014), HEX2DEC("F800"))+BITWISE_AND(INT(((D431 * 253) + 505) / 32), HEX2DEC("07E0"))+INT(((E431 * 249) + 1014) / 2048),4)</f>
        <v>762E</v>
      </c>
      <c r="G431" t="str">
        <f>"Const Color_" &amp; A431 &amp; " = &amp;H" &amp; F431</f>
        <v>Const Color_sgichartreuse = &amp;H762E</v>
      </c>
    </row>
    <row r="432" spans="1:7" ht="15" customHeight="1">
      <c r="A432" s="557" t="s">
        <v>385</v>
      </c>
      <c r="B432" s="432"/>
      <c r="C432" s="555">
        <v>142</v>
      </c>
      <c r="D432" s="555">
        <v>142</v>
      </c>
      <c r="E432" s="555">
        <v>56</v>
      </c>
      <c r="F432" s="552" t="str">
        <f>DEC2HEX(BITWISE_AND(((C432 * 249) + 1014), HEX2DEC("F800"))+BITWISE_AND(INT(((D432 * 253) + 505) / 32), HEX2DEC("07E0"))+INT(((E432 * 249) + 1014) / 2048),4)</f>
        <v>8C67</v>
      </c>
      <c r="G432" t="str">
        <f>"Const Color_" &amp; A432 &amp; " = &amp;H" &amp; F432</f>
        <v>Const Color_sgiolivedrab = &amp;H8C67</v>
      </c>
    </row>
    <row r="433" spans="1:7" ht="15" customHeight="1">
      <c r="A433" s="557" t="s">
        <v>386</v>
      </c>
      <c r="B433" s="433"/>
      <c r="C433" s="555">
        <v>197</v>
      </c>
      <c r="D433" s="555">
        <v>193</v>
      </c>
      <c r="E433" s="555">
        <v>170</v>
      </c>
      <c r="F433" s="552" t="str">
        <f>DEC2HEX(BITWISE_AND(((C433 * 249) + 1014), HEX2DEC("F800"))+BITWISE_AND(INT(((D433 * 253) + 505) / 32), HEX2DEC("07E0"))+INT(((E433 * 249) + 1014) / 2048),4)</f>
        <v>C615</v>
      </c>
      <c r="G433" t="str">
        <f>"Const Color_" &amp; A433 &amp; " = &amp;H" &amp; F433</f>
        <v>Const Color_sgibrightgray = &amp;HC615</v>
      </c>
    </row>
    <row r="434" spans="1:7" ht="15" customHeight="1">
      <c r="A434" s="557" t="s">
        <v>387</v>
      </c>
      <c r="B434" s="434"/>
      <c r="C434" s="555">
        <v>198</v>
      </c>
      <c r="D434" s="555">
        <v>113</v>
      </c>
      <c r="E434" s="555">
        <v>113</v>
      </c>
      <c r="F434" s="552" t="str">
        <f>DEC2HEX(BITWISE_AND(((C434 * 249) + 1014), HEX2DEC("F800"))+BITWISE_AND(INT(((D434 * 253) + 505) / 32), HEX2DEC("07E0"))+INT(((E434 * 249) + 1014) / 2048),4)</f>
        <v>C38E</v>
      </c>
      <c r="G434" t="str">
        <f>"Const Color_" &amp; A434 &amp; " = &amp;H" &amp; F434</f>
        <v>Const Color_sgisalmon = &amp;HC38E</v>
      </c>
    </row>
    <row r="435" spans="1:7" ht="15" customHeight="1">
      <c r="A435" s="557" t="s">
        <v>388</v>
      </c>
      <c r="B435" s="435"/>
      <c r="C435" s="555">
        <v>85</v>
      </c>
      <c r="D435" s="555">
        <v>85</v>
      </c>
      <c r="E435" s="555">
        <v>85</v>
      </c>
      <c r="F435" s="552" t="str">
        <f>DEC2HEX(BITWISE_AND(((C435 * 249) + 1014), HEX2DEC("F800"))+BITWISE_AND(INT(((D435 * 253) + 505) / 32), HEX2DEC("07E0"))+INT(((E435 * 249) + 1014) / 2048),4)</f>
        <v>52AA</v>
      </c>
      <c r="G435" t="str">
        <f>"Const Color_" &amp; A435 &amp; " = &amp;H" &amp; F435</f>
        <v>Const Color_sgidarkgray = &amp;H52AA</v>
      </c>
    </row>
    <row r="436" spans="1:7" ht="15" customHeight="1">
      <c r="A436" s="557" t="s">
        <v>389</v>
      </c>
      <c r="B436" s="436"/>
      <c r="C436" s="555">
        <v>30</v>
      </c>
      <c r="D436" s="555">
        <v>30</v>
      </c>
      <c r="E436" s="555">
        <v>30</v>
      </c>
      <c r="F436" s="552" t="str">
        <f>DEC2HEX(BITWISE_AND(((C436 * 249) + 1014), HEX2DEC("F800"))+BITWISE_AND(INT(((D436 * 253) + 505) / 32), HEX2DEC("07E0"))+INT(((E436 * 249) + 1014) / 2048),4)</f>
        <v>20E4</v>
      </c>
      <c r="G436" t="str">
        <f>"Const Color_" &amp; A436 &amp; " = &amp;H" &amp; F436</f>
        <v>Const Color_sgigray12 = &amp;H20E4</v>
      </c>
    </row>
    <row r="437" spans="1:7" ht="15" customHeight="1">
      <c r="A437" s="557" t="s">
        <v>390</v>
      </c>
      <c r="B437" s="437"/>
      <c r="C437" s="555">
        <v>40</v>
      </c>
      <c r="D437" s="555">
        <v>40</v>
      </c>
      <c r="E437" s="555">
        <v>40</v>
      </c>
      <c r="F437" s="552" t="str">
        <f>DEC2HEX(BITWISE_AND(((C437 * 249) + 1014), HEX2DEC("F800"))+BITWISE_AND(INT(((D437 * 253) + 505) / 32), HEX2DEC("07E0"))+INT(((E437 * 249) + 1014) / 2048),4)</f>
        <v>2945</v>
      </c>
      <c r="G437" t="str">
        <f>"Const Color_" &amp; A437 &amp; " = &amp;H" &amp; F437</f>
        <v>Const Color_sgigray16 = &amp;H2945</v>
      </c>
    </row>
    <row r="438" spans="1:7" ht="15" customHeight="1">
      <c r="A438" s="557" t="s">
        <v>391</v>
      </c>
      <c r="B438" s="438"/>
      <c r="C438" s="555">
        <v>81</v>
      </c>
      <c r="D438" s="555">
        <v>81</v>
      </c>
      <c r="E438" s="555">
        <v>81</v>
      </c>
      <c r="F438" s="552" t="str">
        <f>DEC2HEX(BITWISE_AND(((C438 * 249) + 1014), HEX2DEC("F800"))+BITWISE_AND(INT(((D438 * 253) + 505) / 32), HEX2DEC("07E0"))+INT(((E438 * 249) + 1014) / 2048),4)</f>
        <v>528A</v>
      </c>
      <c r="G438" t="str">
        <f>"Const Color_" &amp; A438 &amp; " = &amp;H" &amp; F438</f>
        <v>Const Color_sgigray32 = &amp;H528A</v>
      </c>
    </row>
    <row r="439" spans="1:7" ht="15" customHeight="1">
      <c r="A439" s="557" t="s">
        <v>392</v>
      </c>
      <c r="B439" s="439"/>
      <c r="C439" s="555">
        <v>91</v>
      </c>
      <c r="D439" s="555">
        <v>91</v>
      </c>
      <c r="E439" s="555">
        <v>91</v>
      </c>
      <c r="F439" s="552" t="str">
        <f>DEC2HEX(BITWISE_AND(((C439 * 249) + 1014), HEX2DEC("F800"))+BITWISE_AND(INT(((D439 * 253) + 505) / 32), HEX2DEC("07E0"))+INT(((E439 * 249) + 1014) / 2048),4)</f>
        <v>5ACB</v>
      </c>
      <c r="G439" t="str">
        <f>"Const Color_" &amp; A439 &amp; " = &amp;H" &amp; F439</f>
        <v>Const Color_sgigray36 = &amp;H5ACB</v>
      </c>
    </row>
    <row r="440" spans="1:7" ht="15" customHeight="1">
      <c r="A440" s="557" t="s">
        <v>393</v>
      </c>
      <c r="B440" s="440"/>
      <c r="C440" s="555">
        <v>132</v>
      </c>
      <c r="D440" s="555">
        <v>132</v>
      </c>
      <c r="E440" s="555">
        <v>132</v>
      </c>
      <c r="F440" s="552" t="str">
        <f>DEC2HEX(BITWISE_AND(((C440 * 249) + 1014), HEX2DEC("F800"))+BITWISE_AND(INT(((D440 * 253) + 505) / 32), HEX2DEC("07E0"))+INT(((E440 * 249) + 1014) / 2048),4)</f>
        <v>8430</v>
      </c>
      <c r="G440" t="str">
        <f>"Const Color_" &amp; A440 &amp; " = &amp;H" &amp; F440</f>
        <v>Const Color_sgigray52 = &amp;H8430</v>
      </c>
    </row>
    <row r="441" spans="1:7" ht="15" customHeight="1">
      <c r="A441" s="557" t="s">
        <v>394</v>
      </c>
      <c r="B441" s="441"/>
      <c r="C441" s="555">
        <v>142</v>
      </c>
      <c r="D441" s="555">
        <v>142</v>
      </c>
      <c r="E441" s="555">
        <v>142</v>
      </c>
      <c r="F441" s="552" t="str">
        <f>DEC2HEX(BITWISE_AND(((C441 * 249) + 1014), HEX2DEC("F800"))+BITWISE_AND(INT(((D441 * 253) + 505) / 32), HEX2DEC("07E0"))+INT(((E441 * 249) + 1014) / 2048),4)</f>
        <v>8C71</v>
      </c>
      <c r="G441" t="str">
        <f>"Const Color_" &amp; A441 &amp; " = &amp;H" &amp; F441</f>
        <v>Const Color_sgigray56 = &amp;H8C71</v>
      </c>
    </row>
    <row r="442" spans="1:7" ht="15" customHeight="1">
      <c r="A442" s="557" t="s">
        <v>395</v>
      </c>
      <c r="B442" s="442"/>
      <c r="C442" s="555">
        <v>170</v>
      </c>
      <c r="D442" s="555">
        <v>170</v>
      </c>
      <c r="E442" s="555">
        <v>170</v>
      </c>
      <c r="F442" s="552" t="str">
        <f>DEC2HEX(BITWISE_AND(((C442 * 249) + 1014), HEX2DEC("F800"))+BITWISE_AND(INT(((D442 * 253) + 505) / 32), HEX2DEC("07E0"))+INT(((E442 * 249) + 1014) / 2048),4)</f>
        <v>AD55</v>
      </c>
      <c r="G442" t="str">
        <f>"Const Color_" &amp; A442 &amp; " = &amp;H" &amp; F442</f>
        <v>Const Color_sgilightgray = &amp;HAD55</v>
      </c>
    </row>
    <row r="443" spans="1:7" ht="15" customHeight="1">
      <c r="A443" s="557" t="s">
        <v>396</v>
      </c>
      <c r="B443" s="443"/>
      <c r="C443" s="555">
        <v>183</v>
      </c>
      <c r="D443" s="555">
        <v>183</v>
      </c>
      <c r="E443" s="555">
        <v>183</v>
      </c>
      <c r="F443" s="552" t="str">
        <f>DEC2HEX(BITWISE_AND(((C443 * 249) + 1014), HEX2DEC("F800"))+BITWISE_AND(INT(((D443 * 253) + 505) / 32), HEX2DEC("07E0"))+INT(((E443 * 249) + 1014) / 2048),4)</f>
        <v>B5B6</v>
      </c>
      <c r="G443" t="str">
        <f>"Const Color_" &amp; A443 &amp; " = &amp;H" &amp; F443</f>
        <v>Const Color_sgigray72 = &amp;HB5B6</v>
      </c>
    </row>
    <row r="444" spans="1:7" ht="15" customHeight="1">
      <c r="A444" s="557" t="s">
        <v>397</v>
      </c>
      <c r="B444" s="444"/>
      <c r="C444" s="555">
        <v>193</v>
      </c>
      <c r="D444" s="555">
        <v>193</v>
      </c>
      <c r="E444" s="555">
        <v>193</v>
      </c>
      <c r="F444" s="552" t="str">
        <f>DEC2HEX(BITWISE_AND(((C444 * 249) + 1014), HEX2DEC("F800"))+BITWISE_AND(INT(((D444 * 253) + 505) / 32), HEX2DEC("07E0"))+INT(((E444 * 249) + 1014) / 2048),4)</f>
        <v>BE17</v>
      </c>
      <c r="G444" t="str">
        <f>"Const Color_" &amp; A444 &amp; " = &amp;H" &amp; F444</f>
        <v>Const Color_sgigray76 = &amp;HBE17</v>
      </c>
    </row>
    <row r="445" spans="1:7" ht="15" customHeight="1">
      <c r="A445" s="557" t="s">
        <v>398</v>
      </c>
      <c r="B445" s="445"/>
      <c r="C445" s="555">
        <v>234</v>
      </c>
      <c r="D445" s="555">
        <v>234</v>
      </c>
      <c r="E445" s="555">
        <v>234</v>
      </c>
      <c r="F445" s="552" t="str">
        <f>DEC2HEX(BITWISE_AND(((C445 * 249) + 1014), HEX2DEC("F800"))+BITWISE_AND(INT(((D445 * 253) + 505) / 32), HEX2DEC("07E0"))+INT(((E445 * 249) + 1014) / 2048),4)</f>
        <v>E75C</v>
      </c>
      <c r="G445" t="str">
        <f>"Const Color_" &amp; A445 &amp; " = &amp;H" &amp; F445</f>
        <v>Const Color_sgigray92 = &amp;HE75C</v>
      </c>
    </row>
    <row r="446" spans="1:7" ht="15" customHeight="1">
      <c r="A446" s="557" t="s">
        <v>399</v>
      </c>
      <c r="B446" s="446"/>
      <c r="C446" s="555">
        <v>244</v>
      </c>
      <c r="D446" s="555">
        <v>244</v>
      </c>
      <c r="E446" s="555">
        <v>244</v>
      </c>
      <c r="F446" s="552" t="str">
        <f>DEC2HEX(BITWISE_AND(((C446 * 249) + 1014), HEX2DEC("F800"))+BITWISE_AND(INT(((D446 * 253) + 505) / 32), HEX2DEC("07E0"))+INT(((E446 * 249) + 1014) / 2048),4)</f>
        <v>F79E</v>
      </c>
      <c r="G446" t="str">
        <f>"Const Color_" &amp; A446 &amp; " = &amp;H" &amp; F446</f>
        <v>Const Color_sgigray96 = &amp;HF79E</v>
      </c>
    </row>
    <row r="447" spans="1:7" ht="15" customHeight="1">
      <c r="A447" s="557" t="s">
        <v>543</v>
      </c>
      <c r="B447" s="2"/>
      <c r="C447" s="555">
        <v>255</v>
      </c>
      <c r="D447" s="555">
        <v>255</v>
      </c>
      <c r="E447" s="555">
        <v>255</v>
      </c>
      <c r="F447" s="552" t="str">
        <f>DEC2HEX(BITWISE_AND(((C447 * 249) + 1014), HEX2DEC("F800"))+BITWISE_AND(INT(((D447 * 253) + 505) / 32), HEX2DEC("07E0"))+INT(((E447 * 249) + 1014) / 2048),4)</f>
        <v>FFFF</v>
      </c>
      <c r="G447" t="str">
        <f>"Const Color_" &amp; A447 &amp; " = &amp;H" &amp; F447</f>
        <v>Const Color_white = &amp;HFFFF</v>
      </c>
    </row>
    <row r="448" spans="1:7" ht="15" customHeight="1">
      <c r="A448" s="557" t="s">
        <v>544</v>
      </c>
      <c r="B448" s="447"/>
      <c r="C448" s="555">
        <v>245</v>
      </c>
      <c r="D448" s="555">
        <v>245</v>
      </c>
      <c r="E448" s="555">
        <v>245</v>
      </c>
      <c r="F448" s="552" t="str">
        <f>DEC2HEX(BITWISE_AND(((C448 * 249) + 1014), HEX2DEC("F800"))+BITWISE_AND(INT(((D448 * 253) + 505) / 32), HEX2DEC("07E0"))+INT(((E448 * 249) + 1014) / 2048),4)</f>
        <v>F7BE</v>
      </c>
      <c r="G448" t="str">
        <f>"Const Color_" &amp; A448 &amp; " = &amp;H" &amp; F448</f>
        <v>Const Color_whitesmoke = &amp;HF7BE</v>
      </c>
    </row>
    <row r="449" spans="1:7" ht="15" customHeight="1">
      <c r="A449" s="557" t="s">
        <v>109</v>
      </c>
      <c r="B449" s="448"/>
      <c r="C449" s="555">
        <v>220</v>
      </c>
      <c r="D449" s="555">
        <v>220</v>
      </c>
      <c r="E449" s="555">
        <v>220</v>
      </c>
      <c r="F449" s="552" t="str">
        <f>DEC2HEX(BITWISE_AND(((C449 * 249) + 1014), HEX2DEC("F800"))+BITWISE_AND(INT(((D449 * 253) + 505) / 32), HEX2DEC("07E0"))+INT(((E449 * 249) + 1014) / 2048),4)</f>
        <v>DEDB</v>
      </c>
      <c r="G449" t="str">
        <f>"Const Color_" &amp; A449 &amp; " = &amp;H" &amp; F449</f>
        <v>Const Color_gainsboro = &amp;HDEDB</v>
      </c>
    </row>
    <row r="450" spans="1:7" ht="15" customHeight="1">
      <c r="A450" s="557" t="s">
        <v>110</v>
      </c>
      <c r="B450" s="449"/>
      <c r="C450" s="555">
        <v>211</v>
      </c>
      <c r="D450" s="555">
        <v>211</v>
      </c>
      <c r="E450" s="555">
        <v>211</v>
      </c>
      <c r="F450" s="552" t="str">
        <f>DEC2HEX(BITWISE_AND(((C450 * 249) + 1014), HEX2DEC("F800"))+BITWISE_AND(INT(((D450 * 253) + 505) / 32), HEX2DEC("07E0"))+INT(((E450 * 249) + 1014) / 2048),4)</f>
        <v>D69A</v>
      </c>
      <c r="G450" t="str">
        <f>"Const Color_" &amp; A450 &amp; " = &amp;H" &amp; F450</f>
        <v>Const Color_lightgrey = &amp;HD69A</v>
      </c>
    </row>
    <row r="451" spans="1:7" ht="15" customHeight="1">
      <c r="A451" s="557" t="s">
        <v>545</v>
      </c>
      <c r="B451" s="450"/>
      <c r="C451" s="555">
        <v>192</v>
      </c>
      <c r="D451" s="555">
        <v>192</v>
      </c>
      <c r="E451" s="555">
        <v>192</v>
      </c>
      <c r="F451" s="552" t="str">
        <f>DEC2HEX(BITWISE_AND(((C451 * 249) + 1014), HEX2DEC("F800"))+BITWISE_AND(INT(((D451 * 253) + 505) / 32), HEX2DEC("07E0"))+INT(((E451 * 249) + 1014) / 2048),4)</f>
        <v>BDF7</v>
      </c>
      <c r="G451" t="str">
        <f>"Const Color_" &amp; A451 &amp; " = &amp;H" &amp; F451</f>
        <v>Const Color_silver = &amp;HBDF7</v>
      </c>
    </row>
    <row r="452" spans="1:7" ht="15" customHeight="1">
      <c r="A452" s="557" t="s">
        <v>111</v>
      </c>
      <c r="B452" s="451"/>
      <c r="C452" s="555">
        <v>169</v>
      </c>
      <c r="D452" s="555">
        <v>169</v>
      </c>
      <c r="E452" s="555">
        <v>169</v>
      </c>
      <c r="F452" s="552" t="str">
        <f>DEC2HEX(BITWISE_AND(((C452 * 249) + 1014), HEX2DEC("F800"))+BITWISE_AND(INT(((D452 * 253) + 505) / 32), HEX2DEC("07E0"))+INT(((E452 * 249) + 1014) / 2048),4)</f>
        <v>AD55</v>
      </c>
      <c r="G452" t="str">
        <f>"Const Color_" &amp; A452 &amp; " = &amp;H" &amp; F452</f>
        <v>Const Color_darkgray = &amp;HAD55</v>
      </c>
    </row>
    <row r="453" spans="1:7" ht="15" customHeight="1">
      <c r="A453" s="557" t="s">
        <v>546</v>
      </c>
      <c r="B453" s="452"/>
      <c r="C453" s="555">
        <v>128</v>
      </c>
      <c r="D453" s="555">
        <v>128</v>
      </c>
      <c r="E453" s="555">
        <v>128</v>
      </c>
      <c r="F453" s="552" t="str">
        <f>DEC2HEX(BITWISE_AND(((C453 * 249) + 1014), HEX2DEC("F800"))+BITWISE_AND(INT(((D453 * 253) + 505) / 32), HEX2DEC("07E0"))+INT(((E453 * 249) + 1014) / 2048),4)</f>
        <v>8410</v>
      </c>
      <c r="G453" t="str">
        <f>"Const Color_" &amp; A453 &amp; " = &amp;H" &amp; F453</f>
        <v>Const Color_gray = &amp;H8410</v>
      </c>
    </row>
    <row r="454" spans="1:7" ht="15" customHeight="1">
      <c r="A454" s="557" t="s">
        <v>547</v>
      </c>
      <c r="B454" s="453"/>
      <c r="C454" s="555">
        <v>105</v>
      </c>
      <c r="D454" s="555">
        <v>105</v>
      </c>
      <c r="E454" s="555">
        <v>105</v>
      </c>
      <c r="F454" s="552" t="str">
        <f>DEC2HEX(BITWISE_AND(((C454 * 249) + 1014), HEX2DEC("F800"))+BITWISE_AND(INT(((D454 * 253) + 505) / 32), HEX2DEC("07E0"))+INT(((E454 * 249) + 1014) / 2048),4)</f>
        <v>6B4D</v>
      </c>
      <c r="G454" t="str">
        <f>"Const Color_" &amp; A454 &amp; " = &amp;H" &amp; F454</f>
        <v>Const Color_dimgray = &amp;H6B4D</v>
      </c>
    </row>
    <row r="455" spans="1:7" ht="15" customHeight="1">
      <c r="A455" s="557" t="s">
        <v>548</v>
      </c>
      <c r="B455" s="454"/>
      <c r="C455" s="555">
        <v>0</v>
      </c>
      <c r="D455" s="555">
        <v>0</v>
      </c>
      <c r="E455" s="555">
        <v>0</v>
      </c>
      <c r="F455" s="552" t="str">
        <f>DEC2HEX(BITWISE_AND(((C455 * 249) + 1014), HEX2DEC("F800"))+BITWISE_AND(INT(((D455 * 253) + 505) / 32), HEX2DEC("07E0"))+INT(((E455 * 249) + 1014) / 2048),4)</f>
        <v>0000</v>
      </c>
      <c r="G455" t="str">
        <f>"Const Color_" &amp; A455 &amp; " = &amp;H" &amp; F455</f>
        <v>Const Color_black = &amp;H0000</v>
      </c>
    </row>
    <row r="456" spans="1:7" ht="15" customHeight="1">
      <c r="A456" s="557" t="s">
        <v>400</v>
      </c>
      <c r="B456" s="455"/>
      <c r="C456" s="555">
        <v>252</v>
      </c>
      <c r="D456" s="555">
        <v>252</v>
      </c>
      <c r="E456" s="555">
        <v>252</v>
      </c>
      <c r="F456" s="552" t="str">
        <f>DEC2HEX(BITWISE_AND(((C456 * 249) + 1014), HEX2DEC("F800"))+BITWISE_AND(INT(((D456 * 253) + 505) / 32), HEX2DEC("07E0"))+INT(((E456 * 249) + 1014) / 2048),4)</f>
        <v>FFDF</v>
      </c>
      <c r="G456" t="str">
        <f>"Const Color_" &amp; A456 &amp; " = &amp;H" &amp; F456</f>
        <v>Const Color_gray99 = &amp;HFFDF</v>
      </c>
    </row>
    <row r="457" spans="1:7" ht="15" customHeight="1">
      <c r="A457" s="557" t="s">
        <v>401</v>
      </c>
      <c r="B457" s="456"/>
      <c r="C457" s="555">
        <v>250</v>
      </c>
      <c r="D457" s="555">
        <v>250</v>
      </c>
      <c r="E457" s="555">
        <v>250</v>
      </c>
      <c r="F457" s="552" t="str">
        <f>DEC2HEX(BITWISE_AND(((C457 * 249) + 1014), HEX2DEC("F800"))+BITWISE_AND(INT(((D457 * 253) + 505) / 32), HEX2DEC("07E0"))+INT(((E457 * 249) + 1014) / 2048),4)</f>
        <v>F7DE</v>
      </c>
      <c r="G457" t="str">
        <f>"Const Color_" &amp; A457 &amp; " = &amp;H" &amp; F457</f>
        <v>Const Color_gray98 = &amp;HF7DE</v>
      </c>
    </row>
    <row r="458" spans="1:7" ht="15" customHeight="1">
      <c r="A458" s="557" t="s">
        <v>402</v>
      </c>
      <c r="B458" s="457"/>
      <c r="C458" s="555">
        <v>247</v>
      </c>
      <c r="D458" s="555">
        <v>247</v>
      </c>
      <c r="E458" s="555">
        <v>247</v>
      </c>
      <c r="F458" s="552" t="str">
        <f>DEC2HEX(BITWISE_AND(((C458 * 249) + 1014), HEX2DEC("F800"))+BITWISE_AND(INT(((D458 * 253) + 505) / 32), HEX2DEC("07E0"))+INT(((E458 * 249) + 1014) / 2048),4)</f>
        <v>F7BE</v>
      </c>
      <c r="G458" t="str">
        <f>"Const Color_" &amp; A458 &amp; " = &amp;H" &amp; F458</f>
        <v>Const Color_gray97 = &amp;HF7BE</v>
      </c>
    </row>
    <row r="459" spans="1:7" ht="15" customHeight="1">
      <c r="A459" s="557" t="s">
        <v>549</v>
      </c>
      <c r="B459" s="447"/>
      <c r="C459" s="555">
        <v>245</v>
      </c>
      <c r="D459" s="555">
        <v>245</v>
      </c>
      <c r="E459" s="555">
        <v>245</v>
      </c>
      <c r="F459" s="552" t="str">
        <f>DEC2HEX(BITWISE_AND(((C459 * 249) + 1014), HEX2DEC("F800"))+BITWISE_AND(INT(((D459 * 253) + 505) / 32), HEX2DEC("07E0"))+INT(((E459 * 249) + 1014) / 2048),4)</f>
        <v>F7BE</v>
      </c>
      <c r="G459" t="str">
        <f>"Const Color_" &amp; A459 &amp; " = &amp;H" &amp; F459</f>
        <v>Const Color_gray96 = &amp;HF7BE</v>
      </c>
    </row>
    <row r="460" spans="1:7" ht="15" customHeight="1">
      <c r="A460" s="557" t="s">
        <v>403</v>
      </c>
      <c r="B460" s="458"/>
      <c r="C460" s="555">
        <v>242</v>
      </c>
      <c r="D460" s="555">
        <v>242</v>
      </c>
      <c r="E460" s="555">
        <v>242</v>
      </c>
      <c r="F460" s="552" t="str">
        <f>DEC2HEX(BITWISE_AND(((C460 * 249) + 1014), HEX2DEC("F800"))+BITWISE_AND(INT(((D460 * 253) + 505) / 32), HEX2DEC("07E0"))+INT(((E460 * 249) + 1014) / 2048),4)</f>
        <v>EF9D</v>
      </c>
      <c r="G460" t="str">
        <f>"Const Color_" &amp; A460 &amp; " = &amp;H" &amp; F460</f>
        <v>Const Color_gray95 = &amp;HEF9D</v>
      </c>
    </row>
    <row r="461" spans="1:7" ht="15" customHeight="1">
      <c r="A461" s="557" t="s">
        <v>404</v>
      </c>
      <c r="B461" s="459"/>
      <c r="C461" s="555">
        <v>240</v>
      </c>
      <c r="D461" s="555">
        <v>240</v>
      </c>
      <c r="E461" s="555">
        <v>240</v>
      </c>
      <c r="F461" s="552" t="str">
        <f>DEC2HEX(BITWISE_AND(((C461 * 249) + 1014), HEX2DEC("F800"))+BITWISE_AND(INT(((D461 * 253) + 505) / 32), HEX2DEC("07E0"))+INT(((E461 * 249) + 1014) / 2048),4)</f>
        <v>EF7D</v>
      </c>
      <c r="G461" t="str">
        <f>"Const Color_" &amp; A461 &amp; " = &amp;H" &amp; F461</f>
        <v>Const Color_gray94 = &amp;HEF7D</v>
      </c>
    </row>
    <row r="462" spans="1:7" ht="15" customHeight="1">
      <c r="A462" s="557" t="s">
        <v>405</v>
      </c>
      <c r="B462" s="460"/>
      <c r="C462" s="555">
        <v>237</v>
      </c>
      <c r="D462" s="555">
        <v>237</v>
      </c>
      <c r="E462" s="555">
        <v>237</v>
      </c>
      <c r="F462" s="552" t="str">
        <f>DEC2HEX(BITWISE_AND(((C462 * 249) + 1014), HEX2DEC("F800"))+BITWISE_AND(INT(((D462 * 253) + 505) / 32), HEX2DEC("07E0"))+INT(((E462 * 249) + 1014) / 2048),4)</f>
        <v>EF7D</v>
      </c>
      <c r="G462" t="str">
        <f>"Const Color_" &amp; A462 &amp; " = &amp;H" &amp; F462</f>
        <v>Const Color_gray93 = &amp;HEF7D</v>
      </c>
    </row>
    <row r="463" spans="1:7" ht="15" customHeight="1">
      <c r="A463" s="557" t="s">
        <v>406</v>
      </c>
      <c r="B463" s="461"/>
      <c r="C463" s="555">
        <v>235</v>
      </c>
      <c r="D463" s="555">
        <v>235</v>
      </c>
      <c r="E463" s="555">
        <v>235</v>
      </c>
      <c r="F463" s="552" t="str">
        <f>DEC2HEX(BITWISE_AND(((C463 * 249) + 1014), HEX2DEC("F800"))+BITWISE_AND(INT(((D463 * 253) + 505) / 32), HEX2DEC("07E0"))+INT(((E463 * 249) + 1014) / 2048),4)</f>
        <v>EF5D</v>
      </c>
      <c r="G463" t="str">
        <f>"Const Color_" &amp; A463 &amp; " = &amp;H" &amp; F463</f>
        <v>Const Color_gray92 = &amp;HEF5D</v>
      </c>
    </row>
    <row r="464" spans="1:7" ht="15" customHeight="1">
      <c r="A464" s="557" t="s">
        <v>407</v>
      </c>
      <c r="B464" s="462"/>
      <c r="C464" s="555">
        <v>232</v>
      </c>
      <c r="D464" s="555">
        <v>232</v>
      </c>
      <c r="E464" s="555">
        <v>232</v>
      </c>
      <c r="F464" s="552" t="str">
        <f>DEC2HEX(BITWISE_AND(((C464 * 249) + 1014), HEX2DEC("F800"))+BITWISE_AND(INT(((D464 * 253) + 505) / 32), HEX2DEC("07E0"))+INT(((E464 * 249) + 1014) / 2048),4)</f>
        <v>E73C</v>
      </c>
      <c r="G464" t="str">
        <f>"Const Color_" &amp; A464 &amp; " = &amp;H" &amp; F464</f>
        <v>Const Color_gray91 = &amp;HE73C</v>
      </c>
    </row>
    <row r="465" spans="1:7" ht="15" customHeight="1">
      <c r="A465" s="557" t="s">
        <v>408</v>
      </c>
      <c r="B465" s="463"/>
      <c r="C465" s="555">
        <v>229</v>
      </c>
      <c r="D465" s="555">
        <v>229</v>
      </c>
      <c r="E465" s="555">
        <v>229</v>
      </c>
      <c r="F465" s="552" t="str">
        <f>DEC2HEX(BITWISE_AND(((C465 * 249) + 1014), HEX2DEC("F800"))+BITWISE_AND(INT(((D465 * 253) + 505) / 32), HEX2DEC("07E0"))+INT(((E465 * 249) + 1014) / 2048),4)</f>
        <v>E73C</v>
      </c>
      <c r="G465" t="str">
        <f>"Const Color_" &amp; A465 &amp; " = &amp;H" &amp; F465</f>
        <v>Const Color_gray90 = &amp;HE73C</v>
      </c>
    </row>
    <row r="466" spans="1:7" ht="15" customHeight="1">
      <c r="A466" s="557" t="s">
        <v>409</v>
      </c>
      <c r="B466" s="464"/>
      <c r="C466" s="555">
        <v>227</v>
      </c>
      <c r="D466" s="555">
        <v>227</v>
      </c>
      <c r="E466" s="555">
        <v>227</v>
      </c>
      <c r="F466" s="552" t="str">
        <f>DEC2HEX(BITWISE_AND(((C466 * 249) + 1014), HEX2DEC("F800"))+BITWISE_AND(INT(((D466 * 253) + 505) / 32), HEX2DEC("07E0"))+INT(((E466 * 249) + 1014) / 2048),4)</f>
        <v>E71C</v>
      </c>
      <c r="G466" t="str">
        <f>"Const Color_" &amp; A466 &amp; " = &amp;H" &amp; F466</f>
        <v>Const Color_gray89 = &amp;HE71C</v>
      </c>
    </row>
    <row r="467" spans="1:7" ht="15" customHeight="1">
      <c r="A467" s="557" t="s">
        <v>410</v>
      </c>
      <c r="B467" s="465"/>
      <c r="C467" s="555">
        <v>224</v>
      </c>
      <c r="D467" s="555">
        <v>224</v>
      </c>
      <c r="E467" s="555">
        <v>224</v>
      </c>
      <c r="F467" s="552" t="str">
        <f>DEC2HEX(BITWISE_AND(((C467 * 249) + 1014), HEX2DEC("F800"))+BITWISE_AND(INT(((D467 * 253) + 505) / 32), HEX2DEC("07E0"))+INT(((E467 * 249) + 1014) / 2048),4)</f>
        <v>DEFB</v>
      </c>
      <c r="G467" t="str">
        <f>"Const Color_" &amp; A467 &amp; " = &amp;H" &amp; F467</f>
        <v>Const Color_gray88 = &amp;HDEFB</v>
      </c>
    </row>
    <row r="468" spans="1:7" ht="15" customHeight="1">
      <c r="A468" s="557" t="s">
        <v>411</v>
      </c>
      <c r="B468" s="466"/>
      <c r="C468" s="555">
        <v>222</v>
      </c>
      <c r="D468" s="555">
        <v>222</v>
      </c>
      <c r="E468" s="555">
        <v>222</v>
      </c>
      <c r="F468" s="552" t="str">
        <f>DEC2HEX(BITWISE_AND(((C468 * 249) + 1014), HEX2DEC("F800"))+BITWISE_AND(INT(((D468 * 253) + 505) / 32), HEX2DEC("07E0"))+INT(((E468 * 249) + 1014) / 2048),4)</f>
        <v>DEFB</v>
      </c>
      <c r="G468" t="str">
        <f>"Const Color_" &amp; A468 &amp; " = &amp;H" &amp; F468</f>
        <v>Const Color_gray87 = &amp;HDEFB</v>
      </c>
    </row>
    <row r="469" spans="1:7" ht="15" customHeight="1">
      <c r="A469" s="557" t="s">
        <v>412</v>
      </c>
      <c r="B469" s="467"/>
      <c r="C469" s="555">
        <v>219</v>
      </c>
      <c r="D469" s="555">
        <v>219</v>
      </c>
      <c r="E469" s="555">
        <v>219</v>
      </c>
      <c r="F469" s="552" t="str">
        <f>DEC2HEX(BITWISE_AND(((C469 * 249) + 1014), HEX2DEC("F800"))+BITWISE_AND(INT(((D469 * 253) + 505) / 32), HEX2DEC("07E0"))+INT(((E469 * 249) + 1014) / 2048),4)</f>
        <v>DEDB</v>
      </c>
      <c r="G469" t="str">
        <f>"Const Color_" &amp; A469 &amp; " = &amp;H" &amp; F469</f>
        <v>Const Color_gray86 = &amp;HDEDB</v>
      </c>
    </row>
    <row r="470" spans="1:7" ht="15" customHeight="1">
      <c r="A470" s="557" t="s">
        <v>413</v>
      </c>
      <c r="B470" s="468"/>
      <c r="C470" s="555">
        <v>217</v>
      </c>
      <c r="D470" s="555">
        <v>217</v>
      </c>
      <c r="E470" s="555">
        <v>217</v>
      </c>
      <c r="F470" s="552" t="str">
        <f>DEC2HEX(BITWISE_AND(((C470 * 249) + 1014), HEX2DEC("F800"))+BITWISE_AND(INT(((D470 * 253) + 505) / 32), HEX2DEC("07E0"))+INT(((E470 * 249) + 1014) / 2048),4)</f>
        <v>D6DA</v>
      </c>
      <c r="G470" t="str">
        <f>"Const Color_" &amp; A470 &amp; " = &amp;H" &amp; F470</f>
        <v>Const Color_gray85 = &amp;HD6DA</v>
      </c>
    </row>
    <row r="471" spans="1:7" ht="15" customHeight="1">
      <c r="A471" s="557" t="s">
        <v>414</v>
      </c>
      <c r="B471" s="469"/>
      <c r="C471" s="555">
        <v>214</v>
      </c>
      <c r="D471" s="555">
        <v>214</v>
      </c>
      <c r="E471" s="555">
        <v>214</v>
      </c>
      <c r="F471" s="552" t="str">
        <f>DEC2HEX(BITWISE_AND(((C471 * 249) + 1014), HEX2DEC("F800"))+BITWISE_AND(INT(((D471 * 253) + 505) / 32), HEX2DEC("07E0"))+INT(((E471 * 249) + 1014) / 2048),4)</f>
        <v>D6BA</v>
      </c>
      <c r="G471" t="str">
        <f>"Const Color_" &amp; A471 &amp; " = &amp;H" &amp; F471</f>
        <v>Const Color_gray84 = &amp;HD6BA</v>
      </c>
    </row>
    <row r="472" spans="1:7" ht="15" customHeight="1">
      <c r="A472" s="557" t="s">
        <v>415</v>
      </c>
      <c r="B472" s="470"/>
      <c r="C472" s="555">
        <v>212</v>
      </c>
      <c r="D472" s="555">
        <v>212</v>
      </c>
      <c r="E472" s="555">
        <v>212</v>
      </c>
      <c r="F472" s="552" t="str">
        <f>DEC2HEX(BITWISE_AND(((C472 * 249) + 1014), HEX2DEC("F800"))+BITWISE_AND(INT(((D472 * 253) + 505) / 32), HEX2DEC("07E0"))+INT(((E472 * 249) + 1014) / 2048),4)</f>
        <v>D69A</v>
      </c>
      <c r="G472" t="str">
        <f>"Const Color_" &amp; A472 &amp; " = &amp;H" &amp; F472</f>
        <v>Const Color_gray83 = &amp;HD69A</v>
      </c>
    </row>
    <row r="473" spans="1:7" ht="15" customHeight="1">
      <c r="A473" s="557" t="s">
        <v>416</v>
      </c>
      <c r="B473" s="471"/>
      <c r="C473" s="555">
        <v>209</v>
      </c>
      <c r="D473" s="555">
        <v>209</v>
      </c>
      <c r="E473" s="555">
        <v>209</v>
      </c>
      <c r="F473" s="552" t="str">
        <f>DEC2HEX(BITWISE_AND(((C473 * 249) + 1014), HEX2DEC("F800"))+BITWISE_AND(INT(((D473 * 253) + 505) / 32), HEX2DEC("07E0"))+INT(((E473 * 249) + 1014) / 2048),4)</f>
        <v>CE99</v>
      </c>
      <c r="G473" t="str">
        <f>"Const Color_" &amp; A473 &amp; " = &amp;H" &amp; F473</f>
        <v>Const Color_gray82 = &amp;HCE99</v>
      </c>
    </row>
    <row r="474" spans="1:7" ht="15" customHeight="1">
      <c r="A474" s="557" t="s">
        <v>417</v>
      </c>
      <c r="B474" s="472"/>
      <c r="C474" s="555">
        <v>207</v>
      </c>
      <c r="D474" s="555">
        <v>207</v>
      </c>
      <c r="E474" s="555">
        <v>207</v>
      </c>
      <c r="F474" s="552" t="str">
        <f>DEC2HEX(BITWISE_AND(((C474 * 249) + 1014), HEX2DEC("F800"))+BITWISE_AND(INT(((D474 * 253) + 505) / 32), HEX2DEC("07E0"))+INT(((E474 * 249) + 1014) / 2048),4)</f>
        <v>CE79</v>
      </c>
      <c r="G474" t="str">
        <f>"Const Color_" &amp; A474 &amp; " = &amp;H" &amp; F474</f>
        <v>Const Color_gray81 = &amp;HCE79</v>
      </c>
    </row>
    <row r="475" spans="1:7" ht="15" customHeight="1">
      <c r="A475" s="557" t="s">
        <v>418</v>
      </c>
      <c r="B475" s="473"/>
      <c r="C475" s="555">
        <v>204</v>
      </c>
      <c r="D475" s="555">
        <v>204</v>
      </c>
      <c r="E475" s="555">
        <v>204</v>
      </c>
      <c r="F475" s="552" t="str">
        <f>DEC2HEX(BITWISE_AND(((C475 * 249) + 1014), HEX2DEC("F800"))+BITWISE_AND(INT(((D475 * 253) + 505) / 32), HEX2DEC("07E0"))+INT(((E475 * 249) + 1014) / 2048),4)</f>
        <v>CE59</v>
      </c>
      <c r="G475" t="str">
        <f>"Const Color_" &amp; A475 &amp; " = &amp;H" &amp; F475</f>
        <v>Const Color_gray80 = &amp;HCE59</v>
      </c>
    </row>
    <row r="476" spans="1:7" ht="15" customHeight="1">
      <c r="A476" s="557" t="s">
        <v>419</v>
      </c>
      <c r="B476" s="474"/>
      <c r="C476" s="555">
        <v>201</v>
      </c>
      <c r="D476" s="555">
        <v>201</v>
      </c>
      <c r="E476" s="555">
        <v>201</v>
      </c>
      <c r="F476" s="552" t="str">
        <f>DEC2HEX(BITWISE_AND(((C476 * 249) + 1014), HEX2DEC("F800"))+BITWISE_AND(INT(((D476 * 253) + 505) / 32), HEX2DEC("07E0"))+INT(((E476 * 249) + 1014) / 2048),4)</f>
        <v>C658</v>
      </c>
      <c r="G476" t="str">
        <f>"Const Color_" &amp; A476 &amp; " = &amp;H" &amp; F476</f>
        <v>Const Color_gray79 = &amp;HC658</v>
      </c>
    </row>
    <row r="477" spans="1:7" ht="15" customHeight="1">
      <c r="A477" s="557" t="s">
        <v>420</v>
      </c>
      <c r="B477" s="475"/>
      <c r="C477" s="555">
        <v>199</v>
      </c>
      <c r="D477" s="555">
        <v>199</v>
      </c>
      <c r="E477" s="555">
        <v>199</v>
      </c>
      <c r="F477" s="552" t="str">
        <f>DEC2HEX(BITWISE_AND(((C477 * 249) + 1014), HEX2DEC("F800"))+BITWISE_AND(INT(((D477 * 253) + 505) / 32), HEX2DEC("07E0"))+INT(((E477 * 249) + 1014) / 2048),4)</f>
        <v>C638</v>
      </c>
      <c r="G477" t="str">
        <f>"Const Color_" &amp; A477 &amp; " = &amp;H" &amp; F477</f>
        <v>Const Color_gray78 = &amp;HC638</v>
      </c>
    </row>
    <row r="478" spans="1:7" ht="15" customHeight="1">
      <c r="A478" s="557" t="s">
        <v>421</v>
      </c>
      <c r="B478" s="476"/>
      <c r="C478" s="555">
        <v>196</v>
      </c>
      <c r="D478" s="555">
        <v>196</v>
      </c>
      <c r="E478" s="555">
        <v>196</v>
      </c>
      <c r="F478" s="552" t="str">
        <f>DEC2HEX(BITWISE_AND(((C478 * 249) + 1014), HEX2DEC("F800"))+BITWISE_AND(INT(((D478 * 253) + 505) / 32), HEX2DEC("07E0"))+INT(((E478 * 249) + 1014) / 2048),4)</f>
        <v>C618</v>
      </c>
      <c r="G478" t="str">
        <f>"Const Color_" &amp; A478 &amp; " = &amp;H" &amp; F478</f>
        <v>Const Color_gray77 = &amp;HC618</v>
      </c>
    </row>
    <row r="479" spans="1:7" ht="15" customHeight="1">
      <c r="A479" s="557" t="s">
        <v>422</v>
      </c>
      <c r="B479" s="477"/>
      <c r="C479" s="555">
        <v>194</v>
      </c>
      <c r="D479" s="555">
        <v>194</v>
      </c>
      <c r="E479" s="555">
        <v>194</v>
      </c>
      <c r="F479" s="552" t="str">
        <f>DEC2HEX(BITWISE_AND(((C479 * 249) + 1014), HEX2DEC("F800"))+BITWISE_AND(INT(((D479 * 253) + 505) / 32), HEX2DEC("07E0"))+INT(((E479 * 249) + 1014) / 2048),4)</f>
        <v>C618</v>
      </c>
      <c r="G479" t="str">
        <f>"Const Color_" &amp; A479 &amp; " = &amp;H" &amp; F479</f>
        <v>Const Color_gray76 = &amp;HC618</v>
      </c>
    </row>
    <row r="480" spans="1:7" ht="15" customHeight="1">
      <c r="A480" s="557" t="s">
        <v>423</v>
      </c>
      <c r="B480" s="478"/>
      <c r="C480" s="555">
        <v>191</v>
      </c>
      <c r="D480" s="555">
        <v>191</v>
      </c>
      <c r="E480" s="555">
        <v>191</v>
      </c>
      <c r="F480" s="552" t="str">
        <f>DEC2HEX(BITWISE_AND(((C480 * 249) + 1014), HEX2DEC("F800"))+BITWISE_AND(INT(((D480 * 253) + 505) / 32), HEX2DEC("07E0"))+INT(((E480 * 249) + 1014) / 2048),4)</f>
        <v>BDF7</v>
      </c>
      <c r="G480" t="str">
        <f>"Const Color_" &amp; A480 &amp; " = &amp;H" &amp; F480</f>
        <v>Const Color_gray75 = &amp;HBDF7</v>
      </c>
    </row>
    <row r="481" spans="1:7" ht="15" customHeight="1">
      <c r="A481" s="557" t="s">
        <v>424</v>
      </c>
      <c r="B481" s="479"/>
      <c r="C481" s="555">
        <v>189</v>
      </c>
      <c r="D481" s="555">
        <v>189</v>
      </c>
      <c r="E481" s="555">
        <v>189</v>
      </c>
      <c r="F481" s="552" t="str">
        <f>DEC2HEX(BITWISE_AND(((C481 * 249) + 1014), HEX2DEC("F800"))+BITWISE_AND(INT(((D481 * 253) + 505) / 32), HEX2DEC("07E0"))+INT(((E481 * 249) + 1014) / 2048),4)</f>
        <v>BDF7</v>
      </c>
      <c r="G481" t="str">
        <f>"Const Color_" &amp; A481 &amp; " = &amp;H" &amp; F481</f>
        <v>Const Color_gray74 = &amp;HBDF7</v>
      </c>
    </row>
    <row r="482" spans="1:7" ht="15" customHeight="1">
      <c r="A482" s="557" t="s">
        <v>425</v>
      </c>
      <c r="B482" s="480"/>
      <c r="C482" s="555">
        <v>186</v>
      </c>
      <c r="D482" s="555">
        <v>186</v>
      </c>
      <c r="E482" s="555">
        <v>186</v>
      </c>
      <c r="F482" s="552" t="str">
        <f>DEC2HEX(BITWISE_AND(((C482 * 249) + 1014), HEX2DEC("F800"))+BITWISE_AND(INT(((D482 * 253) + 505) / 32), HEX2DEC("07E0"))+INT(((E482 * 249) + 1014) / 2048),4)</f>
        <v>BDD7</v>
      </c>
      <c r="G482" t="str">
        <f>"Const Color_" &amp; A482 &amp; " = &amp;H" &amp; F482</f>
        <v>Const Color_gray73 = &amp;HBDD7</v>
      </c>
    </row>
    <row r="483" spans="1:7" ht="15" customHeight="1">
      <c r="A483" s="557" t="s">
        <v>426</v>
      </c>
      <c r="B483" s="481"/>
      <c r="C483" s="555">
        <v>184</v>
      </c>
      <c r="D483" s="555">
        <v>184</v>
      </c>
      <c r="E483" s="555">
        <v>184</v>
      </c>
      <c r="F483" s="552" t="str">
        <f>DEC2HEX(BITWISE_AND(((C483 * 249) + 1014), HEX2DEC("F800"))+BITWISE_AND(INT(((D483 * 253) + 505) / 32), HEX2DEC("07E0"))+INT(((E483 * 249) + 1014) / 2048),4)</f>
        <v>B5B6</v>
      </c>
      <c r="G483" t="str">
        <f>"Const Color_" &amp; A483 &amp; " = &amp;H" &amp; F483</f>
        <v>Const Color_gray72 = &amp;HB5B6</v>
      </c>
    </row>
    <row r="484" spans="1:7" ht="15" customHeight="1">
      <c r="A484" s="557" t="s">
        <v>427</v>
      </c>
      <c r="B484" s="482"/>
      <c r="C484" s="555">
        <v>181</v>
      </c>
      <c r="D484" s="555">
        <v>181</v>
      </c>
      <c r="E484" s="555">
        <v>181</v>
      </c>
      <c r="F484" s="552" t="str">
        <f>DEC2HEX(BITWISE_AND(((C484 * 249) + 1014), HEX2DEC("F800"))+BITWISE_AND(INT(((D484 * 253) + 505) / 32), HEX2DEC("07E0"))+INT(((E484 * 249) + 1014) / 2048),4)</f>
        <v>B5B6</v>
      </c>
      <c r="G484" t="str">
        <f>"Const Color_" &amp; A484 &amp; " = &amp;H" &amp; F484</f>
        <v>Const Color_gray71 = &amp;HB5B6</v>
      </c>
    </row>
    <row r="485" spans="1:7" ht="15" customHeight="1">
      <c r="A485" s="557" t="s">
        <v>428</v>
      </c>
      <c r="B485" s="483"/>
      <c r="C485" s="555">
        <v>179</v>
      </c>
      <c r="D485" s="555">
        <v>179</v>
      </c>
      <c r="E485" s="555">
        <v>179</v>
      </c>
      <c r="F485" s="552" t="str">
        <f>DEC2HEX(BITWISE_AND(((C485 * 249) + 1014), HEX2DEC("F800"))+BITWISE_AND(INT(((D485 * 253) + 505) / 32), HEX2DEC("07E0"))+INT(((E485 * 249) + 1014) / 2048),4)</f>
        <v>B596</v>
      </c>
      <c r="G485" t="str">
        <f>"Const Color_" &amp; A485 &amp; " = &amp;H" &amp; F485</f>
        <v>Const Color_gray70 = &amp;HB596</v>
      </c>
    </row>
    <row r="486" spans="1:7" ht="15" customHeight="1">
      <c r="A486" s="557" t="s">
        <v>429</v>
      </c>
      <c r="B486" s="484"/>
      <c r="C486" s="555">
        <v>176</v>
      </c>
      <c r="D486" s="555">
        <v>176</v>
      </c>
      <c r="E486" s="555">
        <v>176</v>
      </c>
      <c r="F486" s="552" t="str">
        <f>DEC2HEX(BITWISE_AND(((C486 * 249) + 1014), HEX2DEC("F800"))+BITWISE_AND(INT(((D486 * 253) + 505) / 32), HEX2DEC("07E0"))+INT(((E486 * 249) + 1014) / 2048),4)</f>
        <v>AD75</v>
      </c>
      <c r="G486" t="str">
        <f>"Const Color_" &amp; A486 &amp; " = &amp;H" &amp; F486</f>
        <v>Const Color_gray69 = &amp;HAD75</v>
      </c>
    </row>
    <row r="487" spans="1:7" ht="15" customHeight="1">
      <c r="A487" s="557" t="s">
        <v>430</v>
      </c>
      <c r="B487" s="485"/>
      <c r="C487" s="555">
        <v>173</v>
      </c>
      <c r="D487" s="555">
        <v>173</v>
      </c>
      <c r="E487" s="555">
        <v>173</v>
      </c>
      <c r="F487" s="552" t="str">
        <f>DEC2HEX(BITWISE_AND(((C487 * 249) + 1014), HEX2DEC("F800"))+BITWISE_AND(INT(((D487 * 253) + 505) / 32), HEX2DEC("07E0"))+INT(((E487 * 249) + 1014) / 2048),4)</f>
        <v>AD75</v>
      </c>
      <c r="G487" t="str">
        <f>"Const Color_" &amp; A487 &amp; " = &amp;H" &amp; F487</f>
        <v>Const Color_gray68 = &amp;HAD75</v>
      </c>
    </row>
    <row r="488" spans="1:7" ht="15" customHeight="1">
      <c r="A488" s="557" t="s">
        <v>431</v>
      </c>
      <c r="B488" s="486"/>
      <c r="C488" s="555">
        <v>171</v>
      </c>
      <c r="D488" s="555">
        <v>171</v>
      </c>
      <c r="E488" s="555">
        <v>171</v>
      </c>
      <c r="F488" s="552" t="str">
        <f>DEC2HEX(BITWISE_AND(((C488 * 249) + 1014), HEX2DEC("F800"))+BITWISE_AND(INT(((D488 * 253) + 505) / 32), HEX2DEC("07E0"))+INT(((E488 * 249) + 1014) / 2048),4)</f>
        <v>AD55</v>
      </c>
      <c r="G488" t="str">
        <f>"Const Color_" &amp; A488 &amp; " = &amp;H" &amp; F488</f>
        <v>Const Color_gray67 = &amp;HAD55</v>
      </c>
    </row>
    <row r="489" spans="1:7" ht="15" customHeight="1">
      <c r="A489" s="557" t="s">
        <v>432</v>
      </c>
      <c r="B489" s="487"/>
      <c r="C489" s="555">
        <v>168</v>
      </c>
      <c r="D489" s="555">
        <v>168</v>
      </c>
      <c r="E489" s="555">
        <v>168</v>
      </c>
      <c r="F489" s="552" t="str">
        <f>DEC2HEX(BITWISE_AND(((C489 * 249) + 1014), HEX2DEC("F800"))+BITWISE_AND(INT(((D489 * 253) + 505) / 32), HEX2DEC("07E0"))+INT(((E489 * 249) + 1014) / 2048),4)</f>
        <v>A554</v>
      </c>
      <c r="G489" t="str">
        <f>"Const Color_" &amp; A489 &amp; " = &amp;H" &amp; F489</f>
        <v>Const Color_gray66 = &amp;HA554</v>
      </c>
    </row>
    <row r="490" spans="1:7" ht="15" customHeight="1">
      <c r="A490" s="557" t="s">
        <v>433</v>
      </c>
      <c r="B490" s="488"/>
      <c r="C490" s="555">
        <v>166</v>
      </c>
      <c r="D490" s="555">
        <v>166</v>
      </c>
      <c r="E490" s="555">
        <v>166</v>
      </c>
      <c r="F490" s="552" t="str">
        <f>DEC2HEX(BITWISE_AND(((C490 * 249) + 1014), HEX2DEC("F800"))+BITWISE_AND(INT(((D490 * 253) + 505) / 32), HEX2DEC("07E0"))+INT(((E490 * 249) + 1014) / 2048),4)</f>
        <v>A534</v>
      </c>
      <c r="G490" t="str">
        <f>"Const Color_" &amp; A490 &amp; " = &amp;H" &amp; F490</f>
        <v>Const Color_gray65 = &amp;HA534</v>
      </c>
    </row>
    <row r="491" spans="1:7" ht="15" customHeight="1">
      <c r="A491" s="557" t="s">
        <v>434</v>
      </c>
      <c r="B491" s="489"/>
      <c r="C491" s="555">
        <v>163</v>
      </c>
      <c r="D491" s="555">
        <v>163</v>
      </c>
      <c r="E491" s="555">
        <v>163</v>
      </c>
      <c r="F491" s="552" t="str">
        <f>DEC2HEX(BITWISE_AND(((C491 * 249) + 1014), HEX2DEC("F800"))+BITWISE_AND(INT(((D491 * 253) + 505) / 32), HEX2DEC("07E0"))+INT(((E491 * 249) + 1014) / 2048),4)</f>
        <v>A514</v>
      </c>
      <c r="G491" t="str">
        <f>"Const Color_" &amp; A491 &amp; " = &amp;H" &amp; F491</f>
        <v>Const Color_gray64 = &amp;HA514</v>
      </c>
    </row>
    <row r="492" spans="1:7" ht="15" customHeight="1">
      <c r="A492" s="557" t="s">
        <v>435</v>
      </c>
      <c r="B492" s="490"/>
      <c r="C492" s="555">
        <v>161</v>
      </c>
      <c r="D492" s="555">
        <v>161</v>
      </c>
      <c r="E492" s="555">
        <v>161</v>
      </c>
      <c r="F492" s="552" t="str">
        <f>DEC2HEX(BITWISE_AND(((C492 * 249) + 1014), HEX2DEC("F800"))+BITWISE_AND(INT(((D492 * 253) + 505) / 32), HEX2DEC("07E0"))+INT(((E492 * 249) + 1014) / 2048),4)</f>
        <v>A514</v>
      </c>
      <c r="G492" t="str">
        <f>"Const Color_" &amp; A492 &amp; " = &amp;H" &amp; F492</f>
        <v>Const Color_gray63 = &amp;HA514</v>
      </c>
    </row>
    <row r="493" spans="1:7" ht="15" customHeight="1">
      <c r="A493" s="557" t="s">
        <v>436</v>
      </c>
      <c r="B493" s="491"/>
      <c r="C493" s="555">
        <v>158</v>
      </c>
      <c r="D493" s="555">
        <v>158</v>
      </c>
      <c r="E493" s="555">
        <v>158</v>
      </c>
      <c r="F493" s="552" t="str">
        <f>DEC2HEX(BITWISE_AND(((C493 * 249) + 1014), HEX2DEC("F800"))+BITWISE_AND(INT(((D493 * 253) + 505) / 32), HEX2DEC("07E0"))+INT(((E493 * 249) + 1014) / 2048),4)</f>
        <v>9CF3</v>
      </c>
      <c r="G493" t="str">
        <f>"Const Color_" &amp; A493 &amp; " = &amp;H" &amp; F493</f>
        <v>Const Color_gray62 = &amp;H9CF3</v>
      </c>
    </row>
    <row r="494" spans="1:7" ht="15" customHeight="1">
      <c r="A494" s="557" t="s">
        <v>437</v>
      </c>
      <c r="B494" s="492"/>
      <c r="C494" s="555">
        <v>156</v>
      </c>
      <c r="D494" s="555">
        <v>156</v>
      </c>
      <c r="E494" s="555">
        <v>156</v>
      </c>
      <c r="F494" s="552" t="str">
        <f>DEC2HEX(BITWISE_AND(((C494 * 249) + 1014), HEX2DEC("F800"))+BITWISE_AND(INT(((D494 * 253) + 505) / 32), HEX2DEC("07E0"))+INT(((E494 * 249) + 1014) / 2048),4)</f>
        <v>9CF3</v>
      </c>
      <c r="G494" t="str">
        <f>"Const Color_" &amp; A494 &amp; " = &amp;H" &amp; F494</f>
        <v>Const Color_gray61 = &amp;H9CF3</v>
      </c>
    </row>
    <row r="495" spans="1:7" ht="15" customHeight="1">
      <c r="A495" s="557" t="s">
        <v>438</v>
      </c>
      <c r="B495" s="493"/>
      <c r="C495" s="555">
        <v>153</v>
      </c>
      <c r="D495" s="555">
        <v>153</v>
      </c>
      <c r="E495" s="555">
        <v>153</v>
      </c>
      <c r="F495" s="552" t="str">
        <f>DEC2HEX(BITWISE_AND(((C495 * 249) + 1014), HEX2DEC("F800"))+BITWISE_AND(INT(((D495 * 253) + 505) / 32), HEX2DEC("07E0"))+INT(((E495 * 249) + 1014) / 2048),4)</f>
        <v>9CD3</v>
      </c>
      <c r="G495" t="str">
        <f>"Const Color_" &amp; A495 &amp; " = &amp;H" &amp; F495</f>
        <v>Const Color_gray60 = &amp;H9CD3</v>
      </c>
    </row>
    <row r="496" spans="1:7" ht="15" customHeight="1">
      <c r="A496" s="557" t="s">
        <v>439</v>
      </c>
      <c r="B496" s="494"/>
      <c r="C496" s="555">
        <v>150</v>
      </c>
      <c r="D496" s="555">
        <v>150</v>
      </c>
      <c r="E496" s="555">
        <v>150</v>
      </c>
      <c r="F496" s="552" t="str">
        <f>DEC2HEX(BITWISE_AND(((C496 * 249) + 1014), HEX2DEC("F800"))+BITWISE_AND(INT(((D496 * 253) + 505) / 32), HEX2DEC("07E0"))+INT(((E496 * 249) + 1014) / 2048),4)</f>
        <v>94B2</v>
      </c>
      <c r="G496" t="str">
        <f>"Const Color_" &amp; A496 &amp; " = &amp;H" &amp; F496</f>
        <v>Const Color_gray59 = &amp;H94B2</v>
      </c>
    </row>
    <row r="497" spans="1:7" ht="15" customHeight="1">
      <c r="A497" s="557" t="s">
        <v>440</v>
      </c>
      <c r="B497" s="495"/>
      <c r="C497" s="555">
        <v>148</v>
      </c>
      <c r="D497" s="555">
        <v>148</v>
      </c>
      <c r="E497" s="555">
        <v>148</v>
      </c>
      <c r="F497" s="552" t="str">
        <f>DEC2HEX(BITWISE_AND(((C497 * 249) + 1014), HEX2DEC("F800"))+BITWISE_AND(INT(((D497 * 253) + 505) / 32), HEX2DEC("07E0"))+INT(((E497 * 249) + 1014) / 2048),4)</f>
        <v>94B2</v>
      </c>
      <c r="G497" t="str">
        <f>"Const Color_" &amp; A497 &amp; " = &amp;H" &amp; F497</f>
        <v>Const Color_gray58 = &amp;H94B2</v>
      </c>
    </row>
    <row r="498" spans="1:7" ht="15" customHeight="1">
      <c r="A498" s="557" t="s">
        <v>441</v>
      </c>
      <c r="B498" s="496"/>
      <c r="C498" s="555">
        <v>145</v>
      </c>
      <c r="D498" s="555">
        <v>145</v>
      </c>
      <c r="E498" s="555">
        <v>145</v>
      </c>
      <c r="F498" s="552" t="str">
        <f>DEC2HEX(BITWISE_AND(((C498 * 249) + 1014), HEX2DEC("F800"))+BITWISE_AND(INT(((D498 * 253) + 505) / 32), HEX2DEC("07E0"))+INT(((E498 * 249) + 1014) / 2048),4)</f>
        <v>9492</v>
      </c>
      <c r="G498" t="str">
        <f>"Const Color_" &amp; A498 &amp; " = &amp;H" &amp; F498</f>
        <v>Const Color_gray57 = &amp;H9492</v>
      </c>
    </row>
    <row r="499" spans="1:7" ht="15" customHeight="1">
      <c r="A499" s="557" t="s">
        <v>442</v>
      </c>
      <c r="B499" s="497"/>
      <c r="C499" s="555">
        <v>143</v>
      </c>
      <c r="D499" s="555">
        <v>143</v>
      </c>
      <c r="E499" s="555">
        <v>143</v>
      </c>
      <c r="F499" s="552" t="str">
        <f>DEC2HEX(BITWISE_AND(((C499 * 249) + 1014), HEX2DEC("F800"))+BITWISE_AND(INT(((D499 * 253) + 505) / 32), HEX2DEC("07E0"))+INT(((E499 * 249) + 1014) / 2048),4)</f>
        <v>8C71</v>
      </c>
      <c r="G499" t="str">
        <f>"Const Color_" &amp; A499 &amp; " = &amp;H" &amp; F499</f>
        <v>Const Color_gray56 = &amp;H8C71</v>
      </c>
    </row>
    <row r="500" spans="1:7" ht="15" customHeight="1">
      <c r="A500" s="557" t="s">
        <v>443</v>
      </c>
      <c r="B500" s="498"/>
      <c r="C500" s="555">
        <v>140</v>
      </c>
      <c r="D500" s="555">
        <v>140</v>
      </c>
      <c r="E500" s="555">
        <v>140</v>
      </c>
      <c r="F500" s="552" t="str">
        <f>DEC2HEX(BITWISE_AND(((C500 * 249) + 1014), HEX2DEC("F800"))+BITWISE_AND(INT(((D500 * 253) + 505) / 32), HEX2DEC("07E0"))+INT(((E500 * 249) + 1014) / 2048),4)</f>
        <v>8C71</v>
      </c>
      <c r="G500" t="str">
        <f>"Const Color_" &amp; A500 &amp; " = &amp;H" &amp; F500</f>
        <v>Const Color_gray55 = &amp;H8C71</v>
      </c>
    </row>
    <row r="501" spans="1:7" ht="15" customHeight="1">
      <c r="A501" s="557" t="s">
        <v>444</v>
      </c>
      <c r="B501" s="499"/>
      <c r="C501" s="555">
        <v>138</v>
      </c>
      <c r="D501" s="555">
        <v>138</v>
      </c>
      <c r="E501" s="555">
        <v>138</v>
      </c>
      <c r="F501" s="552" t="str">
        <f>DEC2HEX(BITWISE_AND(((C501 * 249) + 1014), HEX2DEC("F800"))+BITWISE_AND(INT(((D501 * 253) + 505) / 32), HEX2DEC("07E0"))+INT(((E501 * 249) + 1014) / 2048),4)</f>
        <v>8C51</v>
      </c>
      <c r="G501" t="str">
        <f>"Const Color_" &amp; A501 &amp; " = &amp;H" &amp; F501</f>
        <v>Const Color_gray54 = &amp;H8C51</v>
      </c>
    </row>
    <row r="502" spans="1:7" ht="15" customHeight="1">
      <c r="A502" s="557" t="s">
        <v>445</v>
      </c>
      <c r="B502" s="500"/>
      <c r="C502" s="555">
        <v>135</v>
      </c>
      <c r="D502" s="555">
        <v>135</v>
      </c>
      <c r="E502" s="555">
        <v>135</v>
      </c>
      <c r="F502" s="552" t="str">
        <f>DEC2HEX(BITWISE_AND(((C502 * 249) + 1014), HEX2DEC("F800"))+BITWISE_AND(INT(((D502 * 253) + 505) / 32), HEX2DEC("07E0"))+INT(((E502 * 249) + 1014) / 2048),4)</f>
        <v>8430</v>
      </c>
      <c r="G502" t="str">
        <f>"Const Color_" &amp; A502 &amp; " = &amp;H" &amp; F502</f>
        <v>Const Color_gray53 = &amp;H8430</v>
      </c>
    </row>
    <row r="503" spans="1:7" ht="15" customHeight="1">
      <c r="A503" s="557" t="s">
        <v>446</v>
      </c>
      <c r="B503" s="501"/>
      <c r="C503" s="555">
        <v>133</v>
      </c>
      <c r="D503" s="555">
        <v>133</v>
      </c>
      <c r="E503" s="555">
        <v>133</v>
      </c>
      <c r="F503" s="552" t="str">
        <f>DEC2HEX(BITWISE_AND(((C503 * 249) + 1014), HEX2DEC("F800"))+BITWISE_AND(INT(((D503 * 253) + 505) / 32), HEX2DEC("07E0"))+INT(((E503 * 249) + 1014) / 2048),4)</f>
        <v>8430</v>
      </c>
      <c r="G503" t="str">
        <f>"Const Color_" &amp; A503 &amp; " = &amp;H" &amp; F503</f>
        <v>Const Color_gray52 = &amp;H8430</v>
      </c>
    </row>
    <row r="504" spans="1:7" ht="15" customHeight="1">
      <c r="A504" s="557" t="s">
        <v>447</v>
      </c>
      <c r="B504" s="502"/>
      <c r="C504" s="555">
        <v>130</v>
      </c>
      <c r="D504" s="555">
        <v>130</v>
      </c>
      <c r="E504" s="555">
        <v>130</v>
      </c>
      <c r="F504" s="552" t="str">
        <f>DEC2HEX(BITWISE_AND(((C504 * 249) + 1014), HEX2DEC("F800"))+BITWISE_AND(INT(((D504 * 253) + 505) / 32), HEX2DEC("07E0"))+INT(((E504 * 249) + 1014) / 2048),4)</f>
        <v>8410</v>
      </c>
      <c r="G504" t="str">
        <f>"Const Color_" &amp; A504 &amp; " = &amp;H" &amp; F504</f>
        <v>Const Color_gray51 = &amp;H8410</v>
      </c>
    </row>
    <row r="505" spans="1:7" ht="15" customHeight="1">
      <c r="A505" s="557" t="s">
        <v>448</v>
      </c>
      <c r="B505" s="503"/>
      <c r="C505" s="555">
        <v>127</v>
      </c>
      <c r="D505" s="555">
        <v>127</v>
      </c>
      <c r="E505" s="555">
        <v>127</v>
      </c>
      <c r="F505" s="552" t="str">
        <f>DEC2HEX(BITWISE_AND(((C505 * 249) + 1014), HEX2DEC("F800"))+BITWISE_AND(INT(((D505 * 253) + 505) / 32), HEX2DEC("07E0"))+INT(((E505 * 249) + 1014) / 2048),4)</f>
        <v>7BEF</v>
      </c>
      <c r="G505" t="str">
        <f>"Const Color_" &amp; A505 &amp; " = &amp;H" &amp; F505</f>
        <v>Const Color_gray50 = &amp;H7BEF</v>
      </c>
    </row>
    <row r="506" spans="1:7" ht="15" customHeight="1">
      <c r="A506" s="557" t="s">
        <v>449</v>
      </c>
      <c r="B506" s="504"/>
      <c r="C506" s="555">
        <v>125</v>
      </c>
      <c r="D506" s="555">
        <v>125</v>
      </c>
      <c r="E506" s="555">
        <v>125</v>
      </c>
      <c r="F506" s="552" t="str">
        <f>DEC2HEX(BITWISE_AND(((C506 * 249) + 1014), HEX2DEC("F800"))+BITWISE_AND(INT(((D506 * 253) + 505) / 32), HEX2DEC("07E0"))+INT(((E506 * 249) + 1014) / 2048),4)</f>
        <v>7BEF</v>
      </c>
      <c r="G506" t="str">
        <f>"Const Color_" &amp; A506 &amp; " = &amp;H" &amp; F506</f>
        <v>Const Color_gray49 = &amp;H7BEF</v>
      </c>
    </row>
    <row r="507" spans="1:7" ht="15" customHeight="1">
      <c r="A507" s="557" t="s">
        <v>450</v>
      </c>
      <c r="B507" s="505"/>
      <c r="C507" s="555">
        <v>122</v>
      </c>
      <c r="D507" s="555">
        <v>122</v>
      </c>
      <c r="E507" s="555">
        <v>122</v>
      </c>
      <c r="F507" s="552" t="str">
        <f>DEC2HEX(BITWISE_AND(((C507 * 249) + 1014), HEX2DEC("F800"))+BITWISE_AND(INT(((D507 * 253) + 505) / 32), HEX2DEC("07E0"))+INT(((E507 * 249) + 1014) / 2048),4)</f>
        <v>7BCF</v>
      </c>
      <c r="G507" t="str">
        <f>"Const Color_" &amp; A507 &amp; " = &amp;H" &amp; F507</f>
        <v>Const Color_gray48 = &amp;H7BCF</v>
      </c>
    </row>
    <row r="508" spans="1:7" ht="15" customHeight="1">
      <c r="A508" s="557" t="s">
        <v>451</v>
      </c>
      <c r="B508" s="506"/>
      <c r="C508" s="555">
        <v>120</v>
      </c>
      <c r="D508" s="555">
        <v>120</v>
      </c>
      <c r="E508" s="555">
        <v>120</v>
      </c>
      <c r="F508" s="552" t="str">
        <f>DEC2HEX(BITWISE_AND(((C508 * 249) + 1014), HEX2DEC("F800"))+BITWISE_AND(INT(((D508 * 253) + 505) / 32), HEX2DEC("07E0"))+INT(((E508 * 249) + 1014) / 2048),4)</f>
        <v>7BCF</v>
      </c>
      <c r="G508" t="str">
        <f>"Const Color_" &amp; A508 &amp; " = &amp;H" &amp; F508</f>
        <v>Const Color_gray47 = &amp;H7BCF</v>
      </c>
    </row>
    <row r="509" spans="1:7" ht="15" customHeight="1">
      <c r="A509" s="557" t="s">
        <v>452</v>
      </c>
      <c r="B509" s="507"/>
      <c r="C509" s="555">
        <v>117</v>
      </c>
      <c r="D509" s="555">
        <v>117</v>
      </c>
      <c r="E509" s="555">
        <v>117</v>
      </c>
      <c r="F509" s="552" t="str">
        <f>DEC2HEX(BITWISE_AND(((C509 * 249) + 1014), HEX2DEC("F800"))+BITWISE_AND(INT(((D509 * 253) + 505) / 32), HEX2DEC("07E0"))+INT(((E509 * 249) + 1014) / 2048),4)</f>
        <v>73AE</v>
      </c>
      <c r="G509" t="str">
        <f>"Const Color_" &amp; A509 &amp; " = &amp;H" &amp; F509</f>
        <v>Const Color_gray46 = &amp;H73AE</v>
      </c>
    </row>
    <row r="510" spans="1:7" ht="15" customHeight="1">
      <c r="A510" s="557" t="s">
        <v>453</v>
      </c>
      <c r="B510" s="508"/>
      <c r="C510" s="555">
        <v>115</v>
      </c>
      <c r="D510" s="555">
        <v>115</v>
      </c>
      <c r="E510" s="555">
        <v>115</v>
      </c>
      <c r="F510" s="552" t="str">
        <f>DEC2HEX(BITWISE_AND(((C510 * 249) + 1014), HEX2DEC("F800"))+BITWISE_AND(INT(((D510 * 253) + 505) / 32), HEX2DEC("07E0"))+INT(((E510 * 249) + 1014) / 2048),4)</f>
        <v>738E</v>
      </c>
      <c r="G510" t="str">
        <f>"Const Color_" &amp; A510 &amp; " = &amp;H" &amp; F510</f>
        <v>Const Color_gray45 = &amp;H738E</v>
      </c>
    </row>
    <row r="511" spans="1:7" ht="15" customHeight="1">
      <c r="A511" s="557" t="s">
        <v>454</v>
      </c>
      <c r="B511" s="509"/>
      <c r="C511" s="555">
        <v>112</v>
      </c>
      <c r="D511" s="555">
        <v>112</v>
      </c>
      <c r="E511" s="555">
        <v>112</v>
      </c>
      <c r="F511" s="552" t="str">
        <f>DEC2HEX(BITWISE_AND(((C511 * 249) + 1014), HEX2DEC("F800"))+BITWISE_AND(INT(((D511 * 253) + 505) / 32), HEX2DEC("07E0"))+INT(((E511 * 249) + 1014) / 2048),4)</f>
        <v>738E</v>
      </c>
      <c r="G511" t="str">
        <f>"Const Color_" &amp; A511 &amp; " = &amp;H" &amp; F511</f>
        <v>Const Color_gray44 = &amp;H738E</v>
      </c>
    </row>
    <row r="512" spans="1:7" ht="15" customHeight="1">
      <c r="A512" s="557" t="s">
        <v>455</v>
      </c>
      <c r="B512" s="510"/>
      <c r="C512" s="555">
        <v>110</v>
      </c>
      <c r="D512" s="555">
        <v>110</v>
      </c>
      <c r="E512" s="555">
        <v>110</v>
      </c>
      <c r="F512" s="552" t="str">
        <f>DEC2HEX(BITWISE_AND(((C512 * 249) + 1014), HEX2DEC("F800"))+BITWISE_AND(INT(((D512 * 253) + 505) / 32), HEX2DEC("07E0"))+INT(((E512 * 249) + 1014) / 2048),4)</f>
        <v>6B6D</v>
      </c>
      <c r="G512" t="str">
        <f>"Const Color_" &amp; A512 &amp; " = &amp;H" &amp; F512</f>
        <v>Const Color_gray43 = &amp;H6B6D</v>
      </c>
    </row>
    <row r="513" spans="1:7" ht="15" customHeight="1">
      <c r="A513" s="557" t="s">
        <v>456</v>
      </c>
      <c r="B513" s="511"/>
      <c r="C513" s="555">
        <v>107</v>
      </c>
      <c r="D513" s="555">
        <v>107</v>
      </c>
      <c r="E513" s="555">
        <v>107</v>
      </c>
      <c r="F513" s="552" t="str">
        <f>DEC2HEX(BITWISE_AND(((C513 * 249) + 1014), HEX2DEC("F800"))+BITWISE_AND(INT(((D513 * 253) + 505) / 32), HEX2DEC("07E0"))+INT(((E513 * 249) + 1014) / 2048),4)</f>
        <v>6B4D</v>
      </c>
      <c r="G513" t="str">
        <f>"Const Color_" &amp; A513 &amp; " = &amp;H" &amp; F513</f>
        <v>Const Color_gray42 = &amp;H6B4D</v>
      </c>
    </row>
    <row r="514" spans="1:7" ht="15" customHeight="1">
      <c r="A514" s="557" t="s">
        <v>456</v>
      </c>
      <c r="B514" s="453"/>
      <c r="C514" s="555">
        <v>105</v>
      </c>
      <c r="D514" s="555">
        <v>105</v>
      </c>
      <c r="E514" s="555">
        <v>105</v>
      </c>
      <c r="F514" s="552" t="str">
        <f>DEC2HEX(BITWISE_AND(((C514 * 249) + 1014), HEX2DEC("F800"))+BITWISE_AND(INT(((D514 * 253) + 505) / 32), HEX2DEC("07E0"))+INT(((E514 * 249) + 1014) / 2048),4)</f>
        <v>6B4D</v>
      </c>
      <c r="G514" t="str">
        <f>"Const Color_" &amp; A514 &amp; " = &amp;H" &amp; F514</f>
        <v>Const Color_gray42 = &amp;H6B4D</v>
      </c>
    </row>
    <row r="515" spans="1:7" ht="15" customHeight="1">
      <c r="A515" s="557" t="s">
        <v>457</v>
      </c>
      <c r="B515" s="512"/>
      <c r="C515" s="555">
        <v>102</v>
      </c>
      <c r="D515" s="555">
        <v>102</v>
      </c>
      <c r="E515" s="555">
        <v>102</v>
      </c>
      <c r="F515" s="552" t="str">
        <f>DEC2HEX(BITWISE_AND(((C515 * 249) + 1014), HEX2DEC("F800"))+BITWISE_AND(INT(((D515 * 253) + 505) / 32), HEX2DEC("07E0"))+INT(((E515 * 249) + 1014) / 2048),4)</f>
        <v>632C</v>
      </c>
      <c r="G515" t="str">
        <f>"Const Color_" &amp; A515 &amp; " = &amp;H" &amp; F515</f>
        <v>Const Color_gray40 = &amp;H632C</v>
      </c>
    </row>
    <row r="516" spans="1:7" ht="15" customHeight="1">
      <c r="A516" s="557" t="s">
        <v>458</v>
      </c>
      <c r="B516" s="513"/>
      <c r="C516" s="555">
        <v>99</v>
      </c>
      <c r="D516" s="555">
        <v>99</v>
      </c>
      <c r="E516" s="555">
        <v>99</v>
      </c>
      <c r="F516" s="552" t="str">
        <f>DEC2HEX(BITWISE_AND(((C516 * 249) + 1014), HEX2DEC("F800"))+BITWISE_AND(INT(((D516 * 253) + 505) / 32), HEX2DEC("07E0"))+INT(((E516 * 249) + 1014) / 2048),4)</f>
        <v>630C</v>
      </c>
      <c r="G516" t="str">
        <f>"Const Color_" &amp; A516 &amp; " = &amp;H" &amp; F516</f>
        <v>Const Color_gray39 = &amp;H630C</v>
      </c>
    </row>
    <row r="517" spans="1:7" ht="15" customHeight="1">
      <c r="A517" s="557" t="s">
        <v>459</v>
      </c>
      <c r="B517" s="514"/>
      <c r="C517" s="555">
        <v>97</v>
      </c>
      <c r="D517" s="555">
        <v>97</v>
      </c>
      <c r="E517" s="555">
        <v>97</v>
      </c>
      <c r="F517" s="552" t="str">
        <f>DEC2HEX(BITWISE_AND(((C517 * 249) + 1014), HEX2DEC("F800"))+BITWISE_AND(INT(((D517 * 253) + 505) / 32), HEX2DEC("07E0"))+INT(((E517 * 249) + 1014) / 2048),4)</f>
        <v>630C</v>
      </c>
      <c r="G517" t="str">
        <f>"Const Color_" &amp; A517 &amp; " = &amp;H" &amp; F517</f>
        <v>Const Color_gray38 = &amp;H630C</v>
      </c>
    </row>
    <row r="518" spans="1:7" ht="15" customHeight="1">
      <c r="A518" s="557" t="s">
        <v>460</v>
      </c>
      <c r="B518" s="515"/>
      <c r="C518" s="555">
        <v>94</v>
      </c>
      <c r="D518" s="555">
        <v>94</v>
      </c>
      <c r="E518" s="555">
        <v>94</v>
      </c>
      <c r="F518" s="552" t="str">
        <f>DEC2HEX(BITWISE_AND(((C518 * 249) + 1014), HEX2DEC("F800"))+BITWISE_AND(INT(((D518 * 253) + 505) / 32), HEX2DEC("07E0"))+INT(((E518 * 249) + 1014) / 2048),4)</f>
        <v>5AEB</v>
      </c>
      <c r="G518" t="str">
        <f>"Const Color_" &amp; A518 &amp; " = &amp;H" &amp; F518</f>
        <v>Const Color_gray37 = &amp;H5AEB</v>
      </c>
    </row>
    <row r="519" spans="1:7" ht="15" customHeight="1">
      <c r="A519" s="557" t="s">
        <v>461</v>
      </c>
      <c r="B519" s="516"/>
      <c r="C519" s="555">
        <v>92</v>
      </c>
      <c r="D519" s="555">
        <v>92</v>
      </c>
      <c r="E519" s="555">
        <v>92</v>
      </c>
      <c r="F519" s="552" t="str">
        <f>DEC2HEX(BITWISE_AND(((C519 * 249) + 1014), HEX2DEC("F800"))+BITWISE_AND(INT(((D519 * 253) + 505) / 32), HEX2DEC("07E0"))+INT(((E519 * 249) + 1014) / 2048),4)</f>
        <v>5AEB</v>
      </c>
      <c r="G519" t="str">
        <f>"Const Color_" &amp; A519 &amp; " = &amp;H" &amp; F519</f>
        <v>Const Color_gray36 = &amp;H5AEB</v>
      </c>
    </row>
    <row r="520" spans="1:7" ht="15" customHeight="1">
      <c r="A520" s="557" t="s">
        <v>462</v>
      </c>
      <c r="B520" s="517"/>
      <c r="C520" s="555">
        <v>89</v>
      </c>
      <c r="D520" s="555">
        <v>89</v>
      </c>
      <c r="E520" s="555">
        <v>89</v>
      </c>
      <c r="F520" s="552" t="str">
        <f>DEC2HEX(BITWISE_AND(((C520 * 249) + 1014), HEX2DEC("F800"))+BITWISE_AND(INT(((D520 * 253) + 505) / 32), HEX2DEC("07E0"))+INT(((E520 * 249) + 1014) / 2048),4)</f>
        <v>5ACB</v>
      </c>
      <c r="G520" t="str">
        <f>"Const Color_" &amp; A520 &amp; " = &amp;H" &amp; F520</f>
        <v>Const Color_gray35 = &amp;H5ACB</v>
      </c>
    </row>
    <row r="521" spans="1:7" ht="15" customHeight="1">
      <c r="A521" s="557" t="s">
        <v>463</v>
      </c>
      <c r="B521" s="518"/>
      <c r="C521" s="555">
        <v>87</v>
      </c>
      <c r="D521" s="555">
        <v>87</v>
      </c>
      <c r="E521" s="555">
        <v>87</v>
      </c>
      <c r="F521" s="552" t="str">
        <f>DEC2HEX(BITWISE_AND(((C521 * 249) + 1014), HEX2DEC("F800"))+BITWISE_AND(INT(((D521 * 253) + 505) / 32), HEX2DEC("07E0"))+INT(((E521 * 249) + 1014) / 2048),4)</f>
        <v>5AAB</v>
      </c>
      <c r="G521" t="str">
        <f>"Const Color_" &amp; A521 &amp; " = &amp;H" &amp; F521</f>
        <v>Const Color_gray34 = &amp;H5AAB</v>
      </c>
    </row>
    <row r="522" spans="1:7" ht="15" customHeight="1">
      <c r="A522" s="557" t="s">
        <v>464</v>
      </c>
      <c r="B522" s="519"/>
      <c r="C522" s="555">
        <v>84</v>
      </c>
      <c r="D522" s="555">
        <v>84</v>
      </c>
      <c r="E522" s="555">
        <v>84</v>
      </c>
      <c r="F522" s="552" t="str">
        <f>DEC2HEX(BITWISE_AND(((C522 * 249) + 1014), HEX2DEC("F800"))+BITWISE_AND(INT(((D522 * 253) + 505) / 32), HEX2DEC("07E0"))+INT(((E522 * 249) + 1014) / 2048),4)</f>
        <v>52AA</v>
      </c>
      <c r="G522" t="str">
        <f>"Const Color_" &amp; A522 &amp; " = &amp;H" &amp; F522</f>
        <v>Const Color_gray33 = &amp;H52AA</v>
      </c>
    </row>
    <row r="523" spans="1:7" ht="15" customHeight="1">
      <c r="A523" s="557" t="s">
        <v>465</v>
      </c>
      <c r="B523" s="520"/>
      <c r="C523" s="555">
        <v>82</v>
      </c>
      <c r="D523" s="555">
        <v>82</v>
      </c>
      <c r="E523" s="555">
        <v>82</v>
      </c>
      <c r="F523" s="552" t="str">
        <f>DEC2HEX(BITWISE_AND(((C523 * 249) + 1014), HEX2DEC("F800"))+BITWISE_AND(INT(((D523 * 253) + 505) / 32), HEX2DEC("07E0"))+INT(((E523 * 249) + 1014) / 2048),4)</f>
        <v>528A</v>
      </c>
      <c r="G523" t="str">
        <f>"Const Color_" &amp; A523 &amp; " = &amp;H" &amp; F523</f>
        <v>Const Color_gray32 = &amp;H528A</v>
      </c>
    </row>
    <row r="524" spans="1:7" ht="15" customHeight="1">
      <c r="A524" s="557" t="s">
        <v>466</v>
      </c>
      <c r="B524" s="521"/>
      <c r="C524" s="555">
        <v>79</v>
      </c>
      <c r="D524" s="555">
        <v>79</v>
      </c>
      <c r="E524" s="555">
        <v>79</v>
      </c>
      <c r="F524" s="552" t="str">
        <f>DEC2HEX(BITWISE_AND(((C524 * 249) + 1014), HEX2DEC("F800"))+BITWISE_AND(INT(((D524 * 253) + 505) / 32), HEX2DEC("07E0"))+INT(((E524 * 249) + 1014) / 2048),4)</f>
        <v>528A</v>
      </c>
      <c r="G524" t="str">
        <f>"Const Color_" &amp; A524 &amp; " = &amp;H" &amp; F524</f>
        <v>Const Color_gray31 = &amp;H528A</v>
      </c>
    </row>
    <row r="525" spans="1:7" ht="15" customHeight="1">
      <c r="A525" s="557" t="s">
        <v>467</v>
      </c>
      <c r="B525" s="522"/>
      <c r="C525" s="555">
        <v>77</v>
      </c>
      <c r="D525" s="555">
        <v>77</v>
      </c>
      <c r="E525" s="555">
        <v>77</v>
      </c>
      <c r="F525" s="552" t="str">
        <f>DEC2HEX(BITWISE_AND(((C525 * 249) + 1014), HEX2DEC("F800"))+BITWISE_AND(INT(((D525 * 253) + 505) / 32), HEX2DEC("07E0"))+INT(((E525 * 249) + 1014) / 2048),4)</f>
        <v>4A69</v>
      </c>
      <c r="G525" t="str">
        <f>"Const Color_" &amp; A525 &amp; " = &amp;H" &amp; F525</f>
        <v>Const Color_gray30 = &amp;H4A69</v>
      </c>
    </row>
    <row r="526" spans="1:7" ht="15" customHeight="1">
      <c r="A526" s="557" t="s">
        <v>468</v>
      </c>
      <c r="B526" s="523"/>
      <c r="C526" s="555">
        <v>74</v>
      </c>
      <c r="D526" s="555">
        <v>74</v>
      </c>
      <c r="E526" s="555">
        <v>74</v>
      </c>
      <c r="F526" s="552" t="str">
        <f>DEC2HEX(BITWISE_AND(((C526 * 249) + 1014), HEX2DEC("F800"))+BITWISE_AND(INT(((D526 * 253) + 505) / 32), HEX2DEC("07E0"))+INT(((E526 * 249) + 1014) / 2048),4)</f>
        <v>4A49</v>
      </c>
      <c r="G526" t="str">
        <f>"Const Color_" &amp; A526 &amp; " = &amp;H" &amp; F526</f>
        <v>Const Color_gray29 = &amp;H4A49</v>
      </c>
    </row>
    <row r="527" spans="1:7" ht="15" customHeight="1">
      <c r="A527" s="557" t="s">
        <v>469</v>
      </c>
      <c r="B527" s="524"/>
      <c r="C527" s="555">
        <v>71</v>
      </c>
      <c r="D527" s="555">
        <v>71</v>
      </c>
      <c r="E527" s="555">
        <v>71</v>
      </c>
      <c r="F527" s="552" t="str">
        <f>DEC2HEX(BITWISE_AND(((C527 * 249) + 1014), HEX2DEC("F800"))+BITWISE_AND(INT(((D527 * 253) + 505) / 32), HEX2DEC("07E0"))+INT(((E527 * 249) + 1014) / 2048),4)</f>
        <v>4A49</v>
      </c>
      <c r="G527" t="str">
        <f>"Const Color_" &amp; A527 &amp; " = &amp;H" &amp; F527</f>
        <v>Const Color_gray28 = &amp;H4A49</v>
      </c>
    </row>
    <row r="528" spans="1:7" ht="15" customHeight="1">
      <c r="A528" s="557" t="s">
        <v>470</v>
      </c>
      <c r="B528" s="525"/>
      <c r="C528" s="555">
        <v>69</v>
      </c>
      <c r="D528" s="555">
        <v>69</v>
      </c>
      <c r="E528" s="555">
        <v>69</v>
      </c>
      <c r="F528" s="552" t="str">
        <f>DEC2HEX(BITWISE_AND(((C528 * 249) + 1014), HEX2DEC("F800"))+BITWISE_AND(INT(((D528 * 253) + 505) / 32), HEX2DEC("07E0"))+INT(((E528 * 249) + 1014) / 2048),4)</f>
        <v>4228</v>
      </c>
      <c r="G528" t="str">
        <f>"Const Color_" &amp; A528 &amp; " = &amp;H" &amp; F528</f>
        <v>Const Color_gray27 = &amp;H4228</v>
      </c>
    </row>
    <row r="529" spans="1:7" ht="15" customHeight="1">
      <c r="A529" s="557" t="s">
        <v>471</v>
      </c>
      <c r="B529" s="526"/>
      <c r="C529" s="555">
        <v>66</v>
      </c>
      <c r="D529" s="555">
        <v>66</v>
      </c>
      <c r="E529" s="555">
        <v>66</v>
      </c>
      <c r="F529" s="552" t="str">
        <f>DEC2HEX(BITWISE_AND(((C529 * 249) + 1014), HEX2DEC("F800"))+BITWISE_AND(INT(((D529 * 253) + 505) / 32), HEX2DEC("07E0"))+INT(((E529 * 249) + 1014) / 2048),4)</f>
        <v>4208</v>
      </c>
      <c r="G529" t="str">
        <f>"Const Color_" &amp; A529 &amp; " = &amp;H" &amp; F529</f>
        <v>Const Color_gray26 = &amp;H4208</v>
      </c>
    </row>
    <row r="530" spans="1:7" ht="15" customHeight="1">
      <c r="A530" s="557" t="s">
        <v>472</v>
      </c>
      <c r="B530" s="527"/>
      <c r="C530" s="555">
        <v>64</v>
      </c>
      <c r="D530" s="555">
        <v>64</v>
      </c>
      <c r="E530" s="555">
        <v>64</v>
      </c>
      <c r="F530" s="552" t="str">
        <f>DEC2HEX(BITWISE_AND(((C530 * 249) + 1014), HEX2DEC("F800"))+BITWISE_AND(INT(((D530 * 253) + 505) / 32), HEX2DEC("07E0"))+INT(((E530 * 249) + 1014) / 2048),4)</f>
        <v>4208</v>
      </c>
      <c r="G530" t="str">
        <f>"Const Color_" &amp; A530 &amp; " = &amp;H" &amp; F530</f>
        <v>Const Color_gray25 = &amp;H4208</v>
      </c>
    </row>
    <row r="531" spans="1:7" ht="15" customHeight="1">
      <c r="A531" s="557" t="s">
        <v>473</v>
      </c>
      <c r="B531" s="528"/>
      <c r="C531" s="555">
        <v>61</v>
      </c>
      <c r="D531" s="555">
        <v>61</v>
      </c>
      <c r="E531" s="555">
        <v>61</v>
      </c>
      <c r="F531" s="552" t="str">
        <f>DEC2HEX(BITWISE_AND(((C531 * 249) + 1014), HEX2DEC("F800"))+BITWISE_AND(INT(((D531 * 253) + 505) / 32), HEX2DEC("07E0"))+INT(((E531 * 249) + 1014) / 2048),4)</f>
        <v>39E7</v>
      </c>
      <c r="G531" t="str">
        <f>"Const Color_" &amp; A531 &amp; " = &amp;H" &amp; F531</f>
        <v>Const Color_gray24 = &amp;H39E7</v>
      </c>
    </row>
    <row r="532" spans="1:7" ht="15" customHeight="1">
      <c r="A532" s="557" t="s">
        <v>474</v>
      </c>
      <c r="B532" s="529"/>
      <c r="C532" s="555">
        <v>59</v>
      </c>
      <c r="D532" s="555">
        <v>59</v>
      </c>
      <c r="E532" s="555">
        <v>59</v>
      </c>
      <c r="F532" s="552" t="str">
        <f>DEC2HEX(BITWISE_AND(((C532 * 249) + 1014), HEX2DEC("F800"))+BITWISE_AND(INT(((D532 * 253) + 505) / 32), HEX2DEC("07E0"))+INT(((E532 * 249) + 1014) / 2048),4)</f>
        <v>39E7</v>
      </c>
      <c r="G532" t="str">
        <f>"Const Color_" &amp; A532 &amp; " = &amp;H" &amp; F532</f>
        <v>Const Color_gray23 = &amp;H39E7</v>
      </c>
    </row>
    <row r="533" spans="1:7" ht="15" customHeight="1">
      <c r="A533" s="557" t="s">
        <v>475</v>
      </c>
      <c r="B533" s="530"/>
      <c r="C533" s="555">
        <v>56</v>
      </c>
      <c r="D533" s="555">
        <v>56</v>
      </c>
      <c r="E533" s="555">
        <v>56</v>
      </c>
      <c r="F533" s="552" t="str">
        <f>DEC2HEX(BITWISE_AND(((C533 * 249) + 1014), HEX2DEC("F800"))+BITWISE_AND(INT(((D533 * 253) + 505) / 32), HEX2DEC("07E0"))+INT(((E533 * 249) + 1014) / 2048),4)</f>
        <v>39C7</v>
      </c>
      <c r="G533" t="str">
        <f>"Const Color_" &amp; A533 &amp; " = &amp;H" &amp; F533</f>
        <v>Const Color_gray22 = &amp;H39C7</v>
      </c>
    </row>
    <row r="534" spans="1:7" ht="15" customHeight="1">
      <c r="A534" s="557" t="s">
        <v>476</v>
      </c>
      <c r="B534" s="531"/>
      <c r="C534" s="555">
        <v>54</v>
      </c>
      <c r="D534" s="555">
        <v>54</v>
      </c>
      <c r="E534" s="555">
        <v>54</v>
      </c>
      <c r="F534" s="552" t="str">
        <f>DEC2HEX(BITWISE_AND(((C534 * 249) + 1014), HEX2DEC("F800"))+BITWISE_AND(INT(((D534 * 253) + 505) / 32), HEX2DEC("07E0"))+INT(((E534 * 249) + 1014) / 2048),4)</f>
        <v>39A7</v>
      </c>
      <c r="G534" t="str">
        <f>"Const Color_" &amp; A534 &amp; " = &amp;H" &amp; F534</f>
        <v>Const Color_gray21 = &amp;H39A7</v>
      </c>
    </row>
    <row r="535" spans="1:7" ht="15" customHeight="1">
      <c r="A535" s="557" t="s">
        <v>477</v>
      </c>
      <c r="B535" s="532"/>
      <c r="C535" s="555">
        <v>51</v>
      </c>
      <c r="D535" s="555">
        <v>51</v>
      </c>
      <c r="E535" s="555">
        <v>51</v>
      </c>
      <c r="F535" s="552" t="str">
        <f>DEC2HEX(BITWISE_AND(((C535 * 249) + 1014), HEX2DEC("F800"))+BITWISE_AND(INT(((D535 * 253) + 505) / 32), HEX2DEC("07E0"))+INT(((E535 * 249) + 1014) / 2048),4)</f>
        <v>31A6</v>
      </c>
      <c r="G535" t="str">
        <f>"Const Color_" &amp; A535 &amp; " = &amp;H" &amp; F535</f>
        <v>Const Color_gray20 = &amp;H31A6</v>
      </c>
    </row>
    <row r="536" spans="1:7" ht="15" customHeight="1">
      <c r="A536" s="557" t="s">
        <v>478</v>
      </c>
      <c r="B536" s="533"/>
      <c r="C536" s="555">
        <v>48</v>
      </c>
      <c r="D536" s="555">
        <v>48</v>
      </c>
      <c r="E536" s="555">
        <v>48</v>
      </c>
      <c r="F536" s="552" t="str">
        <f>DEC2HEX(BITWISE_AND(((C536 * 249) + 1014), HEX2DEC("F800"))+BITWISE_AND(INT(((D536 * 253) + 505) / 32), HEX2DEC("07E0"))+INT(((E536 * 249) + 1014) / 2048),4)</f>
        <v>3186</v>
      </c>
      <c r="G536" t="str">
        <f>"Const Color_" &amp; A536 &amp; " = &amp;H" &amp; F536</f>
        <v>Const Color_gray19 = &amp;H3186</v>
      </c>
    </row>
    <row r="537" spans="1:7" ht="15" customHeight="1">
      <c r="A537" s="557" t="s">
        <v>479</v>
      </c>
      <c r="B537" s="534"/>
      <c r="C537" s="555">
        <v>46</v>
      </c>
      <c r="D537" s="555">
        <v>46</v>
      </c>
      <c r="E537" s="555">
        <v>46</v>
      </c>
      <c r="F537" s="552" t="str">
        <f>DEC2HEX(BITWISE_AND(((C537 * 249) + 1014), HEX2DEC("F800"))+BITWISE_AND(INT(((D537 * 253) + 505) / 32), HEX2DEC("07E0"))+INT(((E537 * 249) + 1014) / 2048),4)</f>
        <v>3166</v>
      </c>
      <c r="G537" t="str">
        <f>"Const Color_" &amp; A537 &amp; " = &amp;H" &amp; F537</f>
        <v>Const Color_gray18 = &amp;H3166</v>
      </c>
    </row>
    <row r="538" spans="1:7" ht="15" customHeight="1">
      <c r="A538" s="557" t="s">
        <v>480</v>
      </c>
      <c r="B538" s="535"/>
      <c r="C538" s="555">
        <v>43</v>
      </c>
      <c r="D538" s="555">
        <v>43</v>
      </c>
      <c r="E538" s="555">
        <v>43</v>
      </c>
      <c r="F538" s="552" t="str">
        <f>DEC2HEX(BITWISE_AND(((C538 * 249) + 1014), HEX2DEC("F800"))+BITWISE_AND(INT(((D538 * 253) + 505) / 32), HEX2DEC("07E0"))+INT(((E538 * 249) + 1014) / 2048),4)</f>
        <v>2965</v>
      </c>
      <c r="G538" t="str">
        <f>"Const Color_" &amp; A538 &amp; " = &amp;H" &amp; F538</f>
        <v>Const Color_gray17 = &amp;H2965</v>
      </c>
    </row>
    <row r="539" spans="1:7" ht="15" customHeight="1">
      <c r="A539" s="557" t="s">
        <v>481</v>
      </c>
      <c r="B539" s="536"/>
      <c r="C539" s="555">
        <v>41</v>
      </c>
      <c r="D539" s="555">
        <v>41</v>
      </c>
      <c r="E539" s="555">
        <v>41</v>
      </c>
      <c r="F539" s="552" t="str">
        <f>DEC2HEX(BITWISE_AND(((C539 * 249) + 1014), HEX2DEC("F800"))+BITWISE_AND(INT(((D539 * 253) + 505) / 32), HEX2DEC("07E0"))+INT(((E539 * 249) + 1014) / 2048),4)</f>
        <v>2945</v>
      </c>
      <c r="G539" t="str">
        <f>"Const Color_" &amp; A539 &amp; " = &amp;H" &amp; F539</f>
        <v>Const Color_gray16 = &amp;H2945</v>
      </c>
    </row>
    <row r="540" spans="1:7" ht="15" customHeight="1">
      <c r="A540" s="557" t="s">
        <v>482</v>
      </c>
      <c r="B540" s="537"/>
      <c r="C540" s="555">
        <v>38</v>
      </c>
      <c r="D540" s="555">
        <v>38</v>
      </c>
      <c r="E540" s="555">
        <v>38</v>
      </c>
      <c r="F540" s="552" t="str">
        <f>DEC2HEX(BITWISE_AND(((C540 * 249) + 1014), HEX2DEC("F800"))+BITWISE_AND(INT(((D540 * 253) + 505) / 32), HEX2DEC("07E0"))+INT(((E540 * 249) + 1014) / 2048),4)</f>
        <v>2925</v>
      </c>
      <c r="G540" t="str">
        <f>"Const Color_" &amp; A540 &amp; " = &amp;H" &amp; F540</f>
        <v>Const Color_gray15 = &amp;H2925</v>
      </c>
    </row>
    <row r="541" spans="1:7" ht="15" customHeight="1">
      <c r="A541" s="557" t="s">
        <v>483</v>
      </c>
      <c r="B541" s="538"/>
      <c r="C541" s="555">
        <v>36</v>
      </c>
      <c r="D541" s="555">
        <v>36</v>
      </c>
      <c r="E541" s="555">
        <v>36</v>
      </c>
      <c r="F541" s="552" t="str">
        <f>DEC2HEX(BITWISE_AND(((C541 * 249) + 1014), HEX2DEC("F800"))+BITWISE_AND(INT(((D541 * 253) + 505) / 32), HEX2DEC("07E0"))+INT(((E541 * 249) + 1014) / 2048),4)</f>
        <v>2124</v>
      </c>
      <c r="G541" t="str">
        <f>"Const Color_" &amp; A541 &amp; " = &amp;H" &amp; F541</f>
        <v>Const Color_gray14 = &amp;H2124</v>
      </c>
    </row>
    <row r="542" spans="1:7" ht="15" customHeight="1">
      <c r="A542" s="557" t="s">
        <v>484</v>
      </c>
      <c r="B542" s="539"/>
      <c r="C542" s="555">
        <v>33</v>
      </c>
      <c r="D542" s="555">
        <v>33</v>
      </c>
      <c r="E542" s="555">
        <v>33</v>
      </c>
      <c r="F542" s="552" t="str">
        <f>DEC2HEX(BITWISE_AND(((C542 * 249) + 1014), HEX2DEC("F800"))+BITWISE_AND(INT(((D542 * 253) + 505) / 32), HEX2DEC("07E0"))+INT(((E542 * 249) + 1014) / 2048),4)</f>
        <v>2104</v>
      </c>
      <c r="G542" t="str">
        <f>"Const Color_" &amp; A542 &amp; " = &amp;H" &amp; F542</f>
        <v>Const Color_gray13 = &amp;H2104</v>
      </c>
    </row>
    <row r="543" spans="1:7" ht="15" customHeight="1">
      <c r="A543" s="557" t="s">
        <v>485</v>
      </c>
      <c r="B543" s="540"/>
      <c r="C543" s="555">
        <v>31</v>
      </c>
      <c r="D543" s="555">
        <v>31</v>
      </c>
      <c r="E543" s="555">
        <v>31</v>
      </c>
      <c r="F543" s="552" t="str">
        <f>DEC2HEX(BITWISE_AND(((C543 * 249) + 1014), HEX2DEC("F800"))+BITWISE_AND(INT(((D543 * 253) + 505) / 32), HEX2DEC("07E0"))+INT(((E543 * 249) + 1014) / 2048),4)</f>
        <v>2104</v>
      </c>
      <c r="G543" t="str">
        <f>"Const Color_" &amp; A543 &amp; " = &amp;H" &amp; F543</f>
        <v>Const Color_gray12 = &amp;H2104</v>
      </c>
    </row>
    <row r="544" spans="1:7" ht="15" customHeight="1">
      <c r="A544" s="557" t="s">
        <v>486</v>
      </c>
      <c r="B544" s="541"/>
      <c r="C544" s="555">
        <v>28</v>
      </c>
      <c r="D544" s="555">
        <v>28</v>
      </c>
      <c r="E544" s="555">
        <v>28</v>
      </c>
      <c r="F544" s="552" t="str">
        <f>DEC2HEX(BITWISE_AND(((C544 * 249) + 1014), HEX2DEC("F800"))+BITWISE_AND(INT(((D544 * 253) + 505) / 32), HEX2DEC("07E0"))+INT(((E544 * 249) + 1014) / 2048),4)</f>
        <v>18E3</v>
      </c>
      <c r="G544" t="str">
        <f>"Const Color_" &amp; A544 &amp; " = &amp;H" &amp; F544</f>
        <v>Const Color_gray11 = &amp;H18E3</v>
      </c>
    </row>
    <row r="545" spans="1:7" ht="15" customHeight="1">
      <c r="A545" s="557" t="s">
        <v>487</v>
      </c>
      <c r="B545" s="542"/>
      <c r="C545" s="555">
        <v>26</v>
      </c>
      <c r="D545" s="555">
        <v>26</v>
      </c>
      <c r="E545" s="555">
        <v>26</v>
      </c>
      <c r="F545" s="552" t="str">
        <f>DEC2HEX(BITWISE_AND(((C545 * 249) + 1014), HEX2DEC("F800"))+BITWISE_AND(INT(((D545 * 253) + 505) / 32), HEX2DEC("07E0"))+INT(((E545 * 249) + 1014) / 2048),4)</f>
        <v>18C3</v>
      </c>
      <c r="G545" t="str">
        <f>"Const Color_" &amp; A545 &amp; " = &amp;H" &amp; F545</f>
        <v>Const Color_gray10 = &amp;H18C3</v>
      </c>
    </row>
    <row r="546" spans="1:7" ht="15" customHeight="1">
      <c r="A546" s="557" t="s">
        <v>488</v>
      </c>
      <c r="B546" s="543"/>
      <c r="C546" s="555">
        <v>23</v>
      </c>
      <c r="D546" s="555">
        <v>23</v>
      </c>
      <c r="E546" s="555">
        <v>23</v>
      </c>
      <c r="F546" s="552" t="str">
        <f>DEC2HEX(BITWISE_AND(((C546 * 249) + 1014), HEX2DEC("F800"))+BITWISE_AND(INT(((D546 * 253) + 505) / 32), HEX2DEC("07E0"))+INT(((E546 * 249) + 1014) / 2048),4)</f>
        <v>18C3</v>
      </c>
      <c r="G546" t="str">
        <f>"Const Color_" &amp; A546 &amp; " = &amp;H" &amp; F546</f>
        <v>Const Color_gray9 = &amp;H18C3</v>
      </c>
    </row>
    <row r="547" spans="1:7" ht="15" customHeight="1">
      <c r="A547" s="557" t="s">
        <v>489</v>
      </c>
      <c r="B547" s="544"/>
      <c r="C547" s="555">
        <v>20</v>
      </c>
      <c r="D547" s="555">
        <v>20</v>
      </c>
      <c r="E547" s="555">
        <v>20</v>
      </c>
      <c r="F547" s="552" t="str">
        <f>DEC2HEX(BITWISE_AND(((C547 * 249) + 1014), HEX2DEC("F800"))+BITWISE_AND(INT(((D547 * 253) + 505) / 32), HEX2DEC("07E0"))+INT(((E547 * 249) + 1014) / 2048),4)</f>
        <v>10A2</v>
      </c>
      <c r="G547" t="str">
        <f>"Const Color_" &amp; A547 &amp; " = &amp;H" &amp; F547</f>
        <v>Const Color_gray8 = &amp;H10A2</v>
      </c>
    </row>
    <row r="548" spans="1:7" ht="15" customHeight="1">
      <c r="A548" s="557" t="s">
        <v>490</v>
      </c>
      <c r="B548" s="545"/>
      <c r="C548" s="555">
        <v>18</v>
      </c>
      <c r="D548" s="555">
        <v>18</v>
      </c>
      <c r="E548" s="555">
        <v>18</v>
      </c>
      <c r="F548" s="552" t="str">
        <f>DEC2HEX(BITWISE_AND(((C548 * 249) + 1014), HEX2DEC("F800"))+BITWISE_AND(INT(((D548 * 253) + 505) / 32), HEX2DEC("07E0"))+INT(((E548 * 249) + 1014) / 2048),4)</f>
        <v>1082</v>
      </c>
      <c r="G548" t="str">
        <f>"Const Color_" &amp; A548 &amp; " = &amp;H" &amp; F548</f>
        <v>Const Color_gray7 = &amp;H1082</v>
      </c>
    </row>
    <row r="549" spans="1:7" ht="15" customHeight="1">
      <c r="A549" s="557" t="s">
        <v>491</v>
      </c>
      <c r="B549" s="546"/>
      <c r="C549" s="555">
        <v>15</v>
      </c>
      <c r="D549" s="555">
        <v>15</v>
      </c>
      <c r="E549" s="555">
        <v>15</v>
      </c>
      <c r="F549" s="552" t="str">
        <f>DEC2HEX(BITWISE_AND(((C549 * 249) + 1014), HEX2DEC("F800"))+BITWISE_AND(INT(((D549 * 253) + 505) / 32), HEX2DEC("07E0"))+INT(((E549 * 249) + 1014) / 2048),4)</f>
        <v>1082</v>
      </c>
      <c r="G549" t="str">
        <f>"Const Color_" &amp; A549 &amp; " = &amp;H" &amp; F549</f>
        <v>Const Color_gray6 = &amp;H1082</v>
      </c>
    </row>
    <row r="550" spans="1:7" ht="15" customHeight="1">
      <c r="A550" s="557" t="s">
        <v>492</v>
      </c>
      <c r="B550" s="547"/>
      <c r="C550" s="555">
        <v>13</v>
      </c>
      <c r="D550" s="555">
        <v>13</v>
      </c>
      <c r="E550" s="555">
        <v>13</v>
      </c>
      <c r="F550" s="552" t="str">
        <f>DEC2HEX(BITWISE_AND(((C550 * 249) + 1014), HEX2DEC("F800"))+BITWISE_AND(INT(((D550 * 253) + 505) / 32), HEX2DEC("07E0"))+INT(((E550 * 249) + 1014) / 2048),4)</f>
        <v>1062</v>
      </c>
      <c r="G550" t="str">
        <f>"Const Color_" &amp; A550 &amp; " = &amp;H" &amp; F550</f>
        <v>Const Color_gray5 = &amp;H1062</v>
      </c>
    </row>
    <row r="551" spans="1:7" ht="15" customHeight="1">
      <c r="A551" s="557" t="s">
        <v>493</v>
      </c>
      <c r="B551" s="548"/>
      <c r="C551" s="555">
        <v>10</v>
      </c>
      <c r="D551" s="555">
        <v>10</v>
      </c>
      <c r="E551" s="555">
        <v>10</v>
      </c>
      <c r="F551" s="552" t="str">
        <f>DEC2HEX(BITWISE_AND(((C551 * 249) + 1014), HEX2DEC("F800"))+BITWISE_AND(INT(((D551 * 253) + 505) / 32), HEX2DEC("07E0"))+INT(((E551 * 249) + 1014) / 2048),4)</f>
        <v>0841</v>
      </c>
      <c r="G551" t="str">
        <f>"Const Color_" &amp; A551 &amp; " = &amp;H" &amp; F551</f>
        <v>Const Color_gray4 = &amp;H0841</v>
      </c>
    </row>
    <row r="552" spans="1:7" ht="15" customHeight="1">
      <c r="A552" s="557" t="s">
        <v>494</v>
      </c>
      <c r="B552" s="549"/>
      <c r="C552" s="555">
        <v>8</v>
      </c>
      <c r="D552" s="555">
        <v>8</v>
      </c>
      <c r="E552" s="555">
        <v>8</v>
      </c>
      <c r="F552" s="552" t="str">
        <f>DEC2HEX(BITWISE_AND(((C552 * 249) + 1014), HEX2DEC("F800"))+BITWISE_AND(INT(((D552 * 253) + 505) / 32), HEX2DEC("07E0"))+INT(((E552 * 249) + 1014) / 2048),4)</f>
        <v>0841</v>
      </c>
      <c r="G552" t="str">
        <f>"Const Color_" &amp; A552 &amp; " = &amp;H" &amp; F552</f>
        <v>Const Color_gray3 = &amp;H0841</v>
      </c>
    </row>
    <row r="553" spans="1:7" ht="15" customHeight="1">
      <c r="A553" s="557" t="s">
        <v>495</v>
      </c>
      <c r="B553" s="550"/>
      <c r="C553" s="555">
        <v>5</v>
      </c>
      <c r="D553" s="555">
        <v>5</v>
      </c>
      <c r="E553" s="555">
        <v>5</v>
      </c>
      <c r="F553" s="552" t="str">
        <f>DEC2HEX(BITWISE_AND(((C553 * 249) + 1014), HEX2DEC("F800"))+BITWISE_AND(INT(((D553 * 253) + 505) / 32), HEX2DEC("07E0"))+INT(((E553 * 249) + 1014) / 2048),4)</f>
        <v>0821</v>
      </c>
      <c r="G553" t="str">
        <f>"Const Color_" &amp; A553 &amp; " = &amp;H" &amp; F553</f>
        <v>Const Color_gray2 = &amp;H0821</v>
      </c>
    </row>
    <row r="554" spans="1:7" ht="15" customHeight="1">
      <c r="A554" s="557" t="s">
        <v>496</v>
      </c>
      <c r="B554" s="551"/>
      <c r="C554" s="555">
        <v>3</v>
      </c>
      <c r="D554" s="555">
        <v>3</v>
      </c>
      <c r="E554" s="555">
        <v>3</v>
      </c>
      <c r="F554" s="552" t="str">
        <f>DEC2HEX(BITWISE_AND(((C554 * 249) + 1014), HEX2DEC("F800"))+BITWISE_AND(INT(((D554 * 253) + 505) / 32), HEX2DEC("07E0"))+INT(((E554 * 249) + 1014) / 2048),4)</f>
        <v>0020</v>
      </c>
      <c r="G554" t="str">
        <f>"Const Color_" &amp; A554 &amp; " = &amp;H" &amp; F554</f>
        <v>Const Color_gray1 = &amp;H0020</v>
      </c>
    </row>
    <row r="559" spans="1:7">
      <c r="A559" s="556" t="s">
        <v>557</v>
      </c>
      <c r="B559" s="562" t="s">
        <v>558</v>
      </c>
    </row>
  </sheetData>
  <hyperlinks>
    <hyperlink ref="B559" r:id="rId1"/>
  </hyperlinks>
  <pageMargins left="0.7" right="0.7" top="0.75" bottom="0.75" header="0.3" footer="0.3"/>
  <pageSetup paperSize="9"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</dc:creator>
  <cp:lastModifiedBy>matthias</cp:lastModifiedBy>
  <dcterms:created xsi:type="dcterms:W3CDTF">2014-12-03T09:20:27Z</dcterms:created>
  <dcterms:modified xsi:type="dcterms:W3CDTF">2014-12-04T03:09:18Z</dcterms:modified>
</cp:coreProperties>
</file>